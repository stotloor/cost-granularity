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CCDCF37-5F15-44AF-A499-F9689B27AD16}" xr6:coauthVersionLast="47" xr6:coauthVersionMax="47" xr10:uidLastSave="{00000000-0000-0000-0000-000000000000}"/>
  <bookViews>
    <workbookView xWindow="-90" yWindow="-90" windowWidth="19380" windowHeight="10260" tabRatio="805" xr2:uid="{00000000-000D-0000-FFFF-FFFF00000000}"/>
  </bookViews>
  <sheets>
    <sheet name="SAP Data" sheetId="2" r:id="rId1"/>
    <sheet name="SAPPivot" sheetId="3" r:id="rId2"/>
    <sheet name="Copperleaf Data" sheetId="4" r:id="rId3"/>
    <sheet name="CopperPivot" sheetId="5" r:id="rId4"/>
    <sheet name="PO Summary" sheetId="6" r:id="rId5"/>
    <sheet name="Actual Allocation" sheetId="7" r:id="rId6"/>
  </sheets>
  <definedNames>
    <definedName name="__________bb2" hidden="1">{#N/A,#N/A,FALSE,"PRJCTED MNTHLY QTY's"}</definedName>
    <definedName name="__________Lee5" hidden="1">{#VALUE!,#N/A,FALSE,0}</definedName>
    <definedName name="_________bb2" hidden="1">{#N/A,#N/A,FALSE,"PRJCTED MNTHLY QTY's"}</definedName>
    <definedName name="_________Lee5" hidden="1">{#VALUE!,#N/A,FALSE,0}</definedName>
    <definedName name="________bb2" hidden="1">{#N/A,#N/A,FALSE,"PRJCTED MNTHLY QTY's"}</definedName>
    <definedName name="________hom1" hidden="1">{#N/A,#N/A,FALSE,"Assessment";#N/A,#N/A,FALSE,"Staffing";#N/A,#N/A,FALSE,"Hires";#N/A,#N/A,FALSE,"Assumptions"}</definedName>
    <definedName name="________k1" hidden="1">{#N/A,#N/A,FALSE,"Assessment";#N/A,#N/A,FALSE,"Staffing";#N/A,#N/A,FALSE,"Hires";#N/A,#N/A,FALSE,"Assumptions"}</definedName>
    <definedName name="________kk1" hidden="1">{#N/A,#N/A,FALSE,"Assessment";#N/A,#N/A,FALSE,"Staffing";#N/A,#N/A,FALSE,"Hires";#N/A,#N/A,FALSE,"Assumptions"}</definedName>
    <definedName name="________KKK1" hidden="1">{#N/A,#N/A,FALSE,"Assessment";#N/A,#N/A,FALSE,"Staffing";#N/A,#N/A,FALSE,"Hires";#N/A,#N/A,FALSE,"Assumptions"}</definedName>
    <definedName name="________Lee5" hidden="1">{#VALUE!,#N/A,FALSE,0}</definedName>
    <definedName name="________w2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_______wr6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_______wr9" hidden="1">{"holdco",#N/A,FALSE,"Summary Financials";"holdco",#N/A,FALSE,"Summary Financials"}</definedName>
    <definedName name="________wrn1" hidden="1">{"holdco",#N/A,FALSE,"Summary Financials";"holdco",#N/A,FALSE,"Summary Financials"}</definedName>
    <definedName name="________wrn2" hidden="1">{"holdco",#N/A,FALSE,"Summary Financials";"holdco",#N/A,FALSE,"Summary Financials"}</definedName>
    <definedName name="________wrn3" hidden="1">{"holdco",#N/A,FALSE,"Summary Financials";"holdco",#N/A,FALSE,"Summary Financials"}</definedName>
    <definedName name="________wrn7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_______wrn8" hidden="1">{"holdco",#N/A,FALSE,"Summary Financials";"holdco",#N/A,FALSE,"Summary Financials"}</definedName>
    <definedName name="_______bb2" hidden="1">{#N/A,#N/A,FALSE,"PRJCTED MNTHLY QTY's"}</definedName>
    <definedName name="_______Lee5" hidden="1">{#VALUE!,#N/A,FALSE,0}</definedName>
    <definedName name="______bb2" hidden="1">{#N/A,#N/A,FALSE,"PRJCTED MNTHLY QTY's"}</definedName>
    <definedName name="______hom1" hidden="1">{#N/A,#N/A,FALSE,"Assessment";#N/A,#N/A,FALSE,"Staffing";#N/A,#N/A,FALSE,"Hires";#N/A,#N/A,FALSE,"Assumptions"}</definedName>
    <definedName name="______k1" hidden="1">{#N/A,#N/A,FALSE,"Assessment";#N/A,#N/A,FALSE,"Staffing";#N/A,#N/A,FALSE,"Hires";#N/A,#N/A,FALSE,"Assumptions"}</definedName>
    <definedName name="______kk1" hidden="1">{#N/A,#N/A,FALSE,"Assessment";#N/A,#N/A,FALSE,"Staffing";#N/A,#N/A,FALSE,"Hires";#N/A,#N/A,FALSE,"Assumptions"}</definedName>
    <definedName name="______KKK1" hidden="1">{#N/A,#N/A,FALSE,"Assessment";#N/A,#N/A,FALSE,"Staffing";#N/A,#N/A,FALSE,"Hires";#N/A,#N/A,FALSE,"Assumptions"}</definedName>
    <definedName name="______Lee5" hidden="1">{#VALUE!,#N/A,FALSE,0}</definedName>
    <definedName name="______w2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_____wr6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_____wr9" hidden="1">{"holdco",#N/A,FALSE,"Summary Financials";"holdco",#N/A,FALSE,"Summary Financials"}</definedName>
    <definedName name="______wrn1" hidden="1">{"holdco",#N/A,FALSE,"Summary Financials";"holdco",#N/A,FALSE,"Summary Financials"}</definedName>
    <definedName name="______wrn2" hidden="1">{"holdco",#N/A,FALSE,"Summary Financials";"holdco",#N/A,FALSE,"Summary Financials"}</definedName>
    <definedName name="______wrn3" hidden="1">{"holdco",#N/A,FALSE,"Summary Financials";"holdco",#N/A,FALSE,"Summary Financials"}</definedName>
    <definedName name="______wrn7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_____wrn8" hidden="1">{"holdco",#N/A,FALSE,"Summary Financials";"holdco",#N/A,FALSE,"Summary Financials"}</definedName>
    <definedName name="_____bb2" hidden="1">{#N/A,#N/A,FALSE,"PRJCTED MNTHLY QTY's"}</definedName>
    <definedName name="_____hom1" hidden="1">{#N/A,#N/A,FALSE,"Assessment";#N/A,#N/A,FALSE,"Staffing";#N/A,#N/A,FALSE,"Hires";#N/A,#N/A,FALSE,"Assumptions"}</definedName>
    <definedName name="_____k1" hidden="1">{#N/A,#N/A,FALSE,"Assessment";#N/A,#N/A,FALSE,"Staffing";#N/A,#N/A,FALSE,"Hires";#N/A,#N/A,FALSE,"Assumptions"}</definedName>
    <definedName name="_____kk1" hidden="1">{#N/A,#N/A,FALSE,"Assessment";#N/A,#N/A,FALSE,"Staffing";#N/A,#N/A,FALSE,"Hires";#N/A,#N/A,FALSE,"Assumptions"}</definedName>
    <definedName name="_____KKK1" hidden="1">{#N/A,#N/A,FALSE,"Assessment";#N/A,#N/A,FALSE,"Staffing";#N/A,#N/A,FALSE,"Hires";#N/A,#N/A,FALSE,"Assumptions"}</definedName>
    <definedName name="_____Lee5" hidden="1">{#VALUE!,#N/A,FALSE,0}</definedName>
    <definedName name="_____wrn1" hidden="1">{"holdco",#N/A,FALSE,"Summary Financials";"holdco",#N/A,FALSE,"Summary Financials"}</definedName>
    <definedName name="_____wrn2" hidden="1">{"holdco",#N/A,FALSE,"Summary Financials";"holdco",#N/A,FALSE,"Summary Financials"}</definedName>
    <definedName name="_____wrn3" hidden="1">{"holdco",#N/A,FALSE,"Summary Financials";"holdco",#N/A,FALSE,"Summary Financials"}</definedName>
    <definedName name="_____wrn7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____wrn8" hidden="1">{"holdco",#N/A,FALSE,"Summary Financials";"holdco",#N/A,FALSE,"Summary Financials"}</definedName>
    <definedName name="____bb2" hidden="1">{#N/A,#N/A,FALSE,"PRJCTED MNTHLY QTY's"}</definedName>
    <definedName name="____hom1" hidden="1">{#N/A,#N/A,FALSE,"Assessment";#N/A,#N/A,FALSE,"Staffing";#N/A,#N/A,FALSE,"Hires";#N/A,#N/A,FALSE,"Assumptions"}</definedName>
    <definedName name="____k1" hidden="1">{#N/A,#N/A,FALSE,"Assessment";#N/A,#N/A,FALSE,"Staffing";#N/A,#N/A,FALSE,"Hires";#N/A,#N/A,FALSE,"Assumptions"}</definedName>
    <definedName name="____kk1" hidden="1">{#N/A,#N/A,FALSE,"Assessment";#N/A,#N/A,FALSE,"Staffing";#N/A,#N/A,FALSE,"Hires";#N/A,#N/A,FALSE,"Assumptions"}</definedName>
    <definedName name="____KKK1" hidden="1">{#N/A,#N/A,FALSE,"Assessment";#N/A,#N/A,FALSE,"Staffing";#N/A,#N/A,FALSE,"Hires";#N/A,#N/A,FALSE,"Assumptions"}</definedName>
    <definedName name="____Lee5" hidden="1">{#VALUE!,#N/A,FALSE,0}</definedName>
    <definedName name="____w2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___wr6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___wr9" hidden="1">{"holdco",#N/A,FALSE,"Summary Financials";"holdco",#N/A,FALSE,"Summary Financials"}</definedName>
    <definedName name="____wrn1" hidden="1">{"holdco",#N/A,FALSE,"Summary Financials";"holdco",#N/A,FALSE,"Summary Financials"}</definedName>
    <definedName name="____wrn2" hidden="1">{"holdco",#N/A,FALSE,"Summary Financials";"holdco",#N/A,FALSE,"Summary Financials"}</definedName>
    <definedName name="____wrn3" hidden="1">{"holdco",#N/A,FALSE,"Summary Financials";"holdco",#N/A,FALSE,"Summary Financials"}</definedName>
    <definedName name="____wrn7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___wrn8" hidden="1">{"holdco",#N/A,FALSE,"Summary Financials";"holdco",#N/A,FALSE,"Summary Financials"}</definedName>
    <definedName name="___bb2" hidden="1">{#N/A,#N/A,FALSE,"PRJCTED MNTHLY QTY's"}</definedName>
    <definedName name="___hom1" hidden="1">{#N/A,#N/A,FALSE,"Assessment";#N/A,#N/A,FALSE,"Staffing";#N/A,#N/A,FALSE,"Hires";#N/A,#N/A,FALSE,"Assumptions"}</definedName>
    <definedName name="___k1" hidden="1">{#N/A,#N/A,FALSE,"Assessment";#N/A,#N/A,FALSE,"Staffing";#N/A,#N/A,FALSE,"Hires";#N/A,#N/A,FALSE,"Assumptions"}</definedName>
    <definedName name="___kk1" hidden="1">{#N/A,#N/A,FALSE,"Assessment";#N/A,#N/A,FALSE,"Staffing";#N/A,#N/A,FALSE,"Hires";#N/A,#N/A,FALSE,"Assumptions"}</definedName>
    <definedName name="___KKK1" hidden="1">{#N/A,#N/A,FALSE,"Assessment";#N/A,#N/A,FALSE,"Staffing";#N/A,#N/A,FALSE,"Hires";#N/A,#N/A,FALSE,"Assumptions"}</definedName>
    <definedName name="___Lee5" hidden="1">{#VALUE!,#N/A,FALSE,0}</definedName>
    <definedName name="___Mar1" hidden="1">#REF!</definedName>
    <definedName name="___wr6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__wr9" hidden="1">{"holdco",#N/A,FALSE,"Summary Financials";"holdco",#N/A,FALSE,"Summary Financials"}</definedName>
    <definedName name="___wrn1" hidden="1">{"holdco",#N/A,FALSE,"Summary Financials";"holdco",#N/A,FALSE,"Summary Financials"}</definedName>
    <definedName name="___wrn2" hidden="1">{"holdco",#N/A,FALSE,"Summary Financials";"holdco",#N/A,FALSE,"Summary Financials"}</definedName>
    <definedName name="___wrn3" hidden="1">{"holdco",#N/A,FALSE,"Summary Financials";"holdco",#N/A,FALSE,"Summary Financials"}</definedName>
    <definedName name="___wrn7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__wrn8" hidden="1">{"holdco",#N/A,FALSE,"Summary Financials";"holdco",#N/A,FALSE,"Summary Financials"}</definedName>
    <definedName name="___xlfn.COUNTIFS" hidden="1">#NAME?</definedName>
    <definedName name="__1__123Graph_ACHART_1" hidden="1">#REF!</definedName>
    <definedName name="__123Graph_A" hidden="1">#REF!</definedName>
    <definedName name="__123Graph_ACITYGATE" hidden="1">#REF!</definedName>
    <definedName name="__123Graph_ACNG" hidden="1">#REF!</definedName>
    <definedName name="__123Graph_AGRAPH2" hidden="1">#REF!</definedName>
    <definedName name="__123Graph_AMARGIN" hidden="1">#REF!</definedName>
    <definedName name="__123Graph_AMINBD" hidden="1">#REF!</definedName>
    <definedName name="__123Graph_AMINTAKE" hidden="1">#REF!</definedName>
    <definedName name="__123Graph_ASTORE" hidden="1">#REF!</definedName>
    <definedName name="__123Graph_ASTOREBD" hidden="1">#REF!</definedName>
    <definedName name="__123Graph_ATENN" hidden="1">#REF!</definedName>
    <definedName name="__123Graph_ATETCO" hidden="1">#REF!</definedName>
    <definedName name="__123Graph_ATOTAL" hidden="1">#REF!</definedName>
    <definedName name="__123Graph_ATRANSCO" hidden="1">#REF!</definedName>
    <definedName name="__123Graph_B" hidden="1">#REF!</definedName>
    <definedName name="__123Graph_BCITYGATE" hidden="1">#REF!</definedName>
    <definedName name="__123Graph_BCNG" hidden="1">#REF!</definedName>
    <definedName name="__123Graph_BGRAPH2" hidden="1">#REF!</definedName>
    <definedName name="__123Graph_BSTOREBD" hidden="1">#REF!</definedName>
    <definedName name="__123Graph_BTENN" hidden="1">#REF!</definedName>
    <definedName name="__123Graph_BTETCO" hidden="1">#REF!</definedName>
    <definedName name="__123Graph_BTOTAL" hidden="1">#REF!</definedName>
    <definedName name="__123Graph_BTRANSCO" hidden="1">#REF!</definedName>
    <definedName name="__123Graph_C" hidden="1">#REF!</definedName>
    <definedName name="__123Graph_CCITYGATE" hidden="1">#REF!</definedName>
    <definedName name="__123Graph_CGRAPH2" hidden="1">#REF!</definedName>
    <definedName name="__123Graph_CMINBD" hidden="1">#REF!</definedName>
    <definedName name="__123Graph_CSTOREBD" hidden="1">#REF!</definedName>
    <definedName name="__123Graph_D" hidden="1">#REF!</definedName>
    <definedName name="__123Graph_DCITYGATE" hidden="1">#REF!</definedName>
    <definedName name="__123Graph_DSTOREBD" hidden="1">#REF!</definedName>
    <definedName name="__123Graph_ECITYGATE" hidden="1">#REF!</definedName>
    <definedName name="__123Graph_X" hidden="1">#REF!</definedName>
    <definedName name="__123Graph_XCITYGATE" hidden="1">#REF!</definedName>
    <definedName name="__123Graph_XCNG" hidden="1">#REF!</definedName>
    <definedName name="__123Graph_XGRAPH2" hidden="1">#REF!</definedName>
    <definedName name="__123Graph_XMARGIN" hidden="1">#REF!</definedName>
    <definedName name="__123Graph_XMINBD" hidden="1">#REF!</definedName>
    <definedName name="__123Graph_XMINTAKE" hidden="1">#REF!</definedName>
    <definedName name="__123Graph_XSTORE" hidden="1">#REF!</definedName>
    <definedName name="__123Graph_XSTOREBD" hidden="1">#REF!</definedName>
    <definedName name="__123Graph_XTENN" hidden="1">#REF!</definedName>
    <definedName name="__123Graph_XTETCO" hidden="1">#REF!</definedName>
    <definedName name="__123Graph_XTOTAL" hidden="1">#REF!</definedName>
    <definedName name="__123Graph_XTRANSCO" hidden="1">#REF!</definedName>
    <definedName name="__2__123Graph_ACHART_3" hidden="1">#REF!</definedName>
    <definedName name="__bb2" hidden="1">{#N/A,#N/A,FALSE,"PRJCTED MNTHLY QTY's"}</definedName>
    <definedName name="__FDS_HYPERLINK_TOGGLE_STATE__" hidden="1">"ON"</definedName>
    <definedName name="__hom1" hidden="1">{#N/A,#N/A,FALSE,"Assessment";#N/A,#N/A,FALSE,"Staffing";#N/A,#N/A,FALSE,"Hires";#N/A,#N/A,FALSE,"Assumptions"}</definedName>
    <definedName name="__IntlFixup" hidden="1">TRUE</definedName>
    <definedName name="__k1" hidden="1">{#N/A,#N/A,FALSE,"Assessment";#N/A,#N/A,FALSE,"Staffing";#N/A,#N/A,FALSE,"Hires";#N/A,#N/A,FALSE,"Assumptions"}</definedName>
    <definedName name="__kk1" hidden="1">{#N/A,#N/A,FALSE,"Assessment";#N/A,#N/A,FALSE,"Staffing";#N/A,#N/A,FALSE,"Hires";#N/A,#N/A,FALSE,"Assumptions"}</definedName>
    <definedName name="__KKK1" hidden="1">{#N/A,#N/A,FALSE,"Assessment";#N/A,#N/A,FALSE,"Staffing";#N/A,#N/A,FALSE,"Hires";#N/A,#N/A,FALSE,"Assumptions"}</definedName>
    <definedName name="__Lee5" hidden="1">{#VALUE!,#N/A,FALSE,0}</definedName>
    <definedName name="__Mar1" hidden="1">#REF!</definedName>
    <definedName name="__wrn1" hidden="1">{"holdco",#N/A,FALSE,"Summary Financials";"holdco",#N/A,FALSE,"Summary Financials"}</definedName>
    <definedName name="__wrn2" hidden="1">{"holdco",#N/A,FALSE,"Summary Financials";"holdco",#N/A,FALSE,"Summary Financials"}</definedName>
    <definedName name="__wrn3" hidden="1">{"holdco",#N/A,FALSE,"Summary Financials";"holdco",#N/A,FALSE,"Summary Financials"}</definedName>
    <definedName name="__wrn7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_wrn8" hidden="1">{"holdco",#N/A,FALSE,"Summary Financials";"holdco",#N/A,FALSE,"Summary Financials"}</definedName>
    <definedName name="__xlfn.COUNTIFS" hidden="1">#NAME?</definedName>
    <definedName name="_1__123Graph_ACHART_1" hidden="1">#REF!</definedName>
    <definedName name="_13__123Graph_BCHART_3" hidden="1">#REF!</definedName>
    <definedName name="_139__123Graph_LBL_DCHART_3" hidden="1">#REF!</definedName>
    <definedName name="_142__123Graph_LBL_FCHART_1" hidden="1">#REF!</definedName>
    <definedName name="_143__123Graph_LBL_FCHART_3" hidden="1">#REF!</definedName>
    <definedName name="_16__123Graph_CCHART_1" hidden="1">#REF!</definedName>
    <definedName name="_19__123Graph_CCHART_3" hidden="1">#REF!</definedName>
    <definedName name="_2__123Graph_ACHART_1" hidden="1">#REF!</definedName>
    <definedName name="_2__123Graph_ACHART_3" hidden="1">#REF!</definedName>
    <definedName name="_25" hidden="1">{#N/A,#N/A,FALSE,"PRJCTED MNTHLY QTY's"}</definedName>
    <definedName name="_26__123Graph_BCHART_3" hidden="1">#REF!</definedName>
    <definedName name="_30__123Graph_LBL_DCHART_1" hidden="1">#REF!</definedName>
    <definedName name="_31__123Graph_LBL_DCHART_3" hidden="1">#REF!</definedName>
    <definedName name="_32__123Graph_LBL_ECHART_1" hidden="1">#REF!</definedName>
    <definedName name="_33__123Graph_LBL_ECHART_3" hidden="1">#REF!</definedName>
    <definedName name="_34__123Graph_LBL_FCHART_1" hidden="1">#REF!</definedName>
    <definedName name="_35__123Graph_LBL_FCHART_3" hidden="1">#REF!</definedName>
    <definedName name="_38__123Graph_CCHART_3" hidden="1">#REF!</definedName>
    <definedName name="_38__123Graph_XCHART_3" hidden="1">#REF!</definedName>
    <definedName name="_4__123Graph_BCHART_1" hidden="1">#REF!</definedName>
    <definedName name="_49__123Graph_LBL_FCHART_1" hidden="1">#REF!</definedName>
    <definedName name="_6__123Graph_CCHART_1" hidden="1">#REF!</definedName>
    <definedName name="_71__123Graph_LBL_DCHART_3" hidden="1">#REF!</definedName>
    <definedName name="_72__123Graph_LBL_ECHART_1" hidden="1">#REF!</definedName>
    <definedName name="_73__123Graph_LBL_ECHART_3" hidden="1">#REF!</definedName>
    <definedName name="_74__123Graph_LBL_FCHART_1" hidden="1">#REF!</definedName>
    <definedName name="_75__123Graph_LBL_FCHART_3" hidden="1">#REF!</definedName>
    <definedName name="_79__123Graph_XCHART_3" hidden="1">#REF!</definedName>
    <definedName name="_8__123Graph_XCHART_1" hidden="1">#REF!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13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b2" hidden="1">{#N/A,#N/A,FALSE,"PRJCTED MNTHLY QTY's"}</definedName>
    <definedName name="_bbc3" hidden="1">{#VALUE!,#N/A,FALSE,0}</definedName>
    <definedName name="_Fill" hidden="1">#REF!</definedName>
    <definedName name="_xlnm._FilterDatabase" localSheetId="2" hidden="1">'Copperleaf Data'!$A$1:$R$6205</definedName>
    <definedName name="_xlnm._FilterDatabase" localSheetId="0" hidden="1">'SAP Data'!$B$2:$AA$69</definedName>
    <definedName name="_hom1" hidden="1">{#N/A,#N/A,FALSE,"Assessment";#N/A,#N/A,FALSE,"Staffing";#N/A,#N/A,FALSE,"Hires";#N/A,#N/A,FALSE,"Assumptions"}</definedName>
    <definedName name="_k1" hidden="1">{#N/A,#N/A,FALSE,"Assessment";#N/A,#N/A,FALSE,"Staffing";#N/A,#N/A,FALSE,"Hires";#N/A,#N/A,FALSE,"Assumptions"}</definedName>
    <definedName name="_Key1" hidden="1">#REF!</definedName>
    <definedName name="_Key2" hidden="1">#REF!</definedName>
    <definedName name="_kk1" hidden="1">{#N/A,#N/A,FALSE,"Assessment";#N/A,#N/A,FALSE,"Staffing";#N/A,#N/A,FALSE,"Hires";#N/A,#N/A,FALSE,"Assumptions"}</definedName>
    <definedName name="_KKK1" hidden="1">{#N/A,#N/A,FALSE,"Assessment";#N/A,#N/A,FALSE,"Staffing";#N/A,#N/A,FALSE,"Hires";#N/A,#N/A,FALSE,"Assumptions"}</definedName>
    <definedName name="_Lee5" hidden="1">{#VALUE!,#N/A,FALSE,0}</definedName>
    <definedName name="_Mar1" hidden="1">#REF!</definedName>
    <definedName name="_Order1" hidden="1">255</definedName>
    <definedName name="_Order2" hidden="1">0</definedName>
    <definedName name="_pcSlicerSheet_Slicer1" hidden="1">#REF!</definedName>
    <definedName name="_pcSlicerSheet_Slicer2" hidden="1">#REF!</definedName>
    <definedName name="_pcSlicerSheet_Slicer3" hidden="1">#REF!</definedName>
    <definedName name="_pcSlicerSheet_Slicer4" hidden="1">#REF!</definedName>
    <definedName name="_pcSlicerSheet_Slicer5" hidden="1">#REF!</definedName>
    <definedName name="_pcSlicerSheet1_Slicer1" hidden="1">#REF!</definedName>
    <definedName name="_pcSlicerSheet1_Slicer2" hidden="1">#REF!</definedName>
    <definedName name="_pcSlicerSheet1_Slicer3" hidden="1">#REF!</definedName>
    <definedName name="_pcSlicerSheet1_Slicer4" hidden="1">#REF!</definedName>
    <definedName name="_pcSlicerSheet1_Slicer5" hidden="1">#REF!</definedName>
    <definedName name="_pcSlicerSheet2_Slicer1" hidden="1">#REF!</definedName>
    <definedName name="_pcSlicerSheet2_Slicer2" hidden="1">#REF!</definedName>
    <definedName name="_pcSlicerSheet2_Slicer3" hidden="1">#REF!</definedName>
    <definedName name="_pcSlicerSheet3_Slicer1" hidden="1">#REF!</definedName>
    <definedName name="_pcSlicerSheet3_Slicer2" hidden="1">#REF!</definedName>
    <definedName name="_pcSlicerSheet3_Slicer3" hidden="1">#REF!</definedName>
    <definedName name="_pcSlicerSheet4_Slicer1" hidden="1">#REF!</definedName>
    <definedName name="_pcSlicerSheet4_Slicer2" hidden="1">#REF!</definedName>
    <definedName name="_pcSlicerSheet4_Slicer3" hidden="1">#REF!</definedName>
    <definedName name="_pcSlicerSheet4_Slicer4" hidden="1">#REF!</definedName>
    <definedName name="_pcSlicerSheet4_Slicer5" hidden="1">#REF!</definedName>
    <definedName name="_pcSlicerSheet5_Slicer1" hidden="1">#REF!</definedName>
    <definedName name="_pcSlicerSheet5_Slicer2" hidden="1">#REF!</definedName>
    <definedName name="_pcSlicerSheet5_Slicer3" hidden="1">#REF!</definedName>
    <definedName name="_pcSlicerSheet6_Slicer1" hidden="1">#REF!</definedName>
    <definedName name="_pcSlicerSheet6_Slicer2" hidden="1">#REF!</definedName>
    <definedName name="_pcSlicerSheet6_Slicer3" hidden="1">#REF!</definedName>
    <definedName name="_pcSlicerSheet6_Slicer4" hidden="1">#REF!</definedName>
    <definedName name="_pcSlicerSheet6_Slicer5" hidden="1">#REF!</definedName>
    <definedName name="_pcSlicerSheet7_Slicer1" hidden="1">#REF!</definedName>
    <definedName name="_pcSlicerSheet7_Slicer2" hidden="1">#REF!</definedName>
    <definedName name="_pcSlicerSheet7_Slicer3" hidden="1">#REF!</definedName>
    <definedName name="_pcSlicerSheet7_Slicer4" hidden="1">#REF!</definedName>
    <definedName name="_pcSlicerSheet7_Slicer5" hidden="1">#REF!</definedName>
    <definedName name="_pcSlicerSheet8_Slicer1" hidden="1">#REF!</definedName>
    <definedName name="_pcSlicerSheet8_Slicer2" hidden="1">#REF!</definedName>
    <definedName name="_pcSlicerSheet8_Slicer3" hidden="1">#REF!</definedName>
    <definedName name="_Sort" hidden="1">#REF!</definedName>
    <definedName name="_Sort_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A" hidden="1">{#N/A,#N/A,FALSE,"DI 2 YEAR MASTER SCHEDULE"}</definedName>
    <definedName name="aa" hidden="1">{#N/A,#N/A,FALSE,"PRJCTED MNTHLY QTY's"}</definedName>
    <definedName name="aaa" hidden="1">{#N/A,#N/A,FALSE,"PRJCTED QTRLY QTY's"}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ccessDatabase" hidden="1">"C:\My Documents\MAUI MALL1.mdb"</definedName>
    <definedName name="ACwvu.CapersView." hidden="1">#N/A</definedName>
    <definedName name="ACwvu.Japan_Capers_Ed_Pub." hidden="1">#REF!</definedName>
    <definedName name="ACwvu.KJP_CC." hidden="1">#REF!</definedName>
    <definedName name="Amount">#REF!</definedName>
    <definedName name="aro" hidden="1">{#N/A,#N/A,FALSE,"DI 2 YEAR MASTER SCHEDULE"}</definedName>
    <definedName name="as" hidden="1">{"Page1",#N/A,FALSE,"pg1";"Page2",#N/A,FALSE,"pg2";"Page3",#N/A,FALSE,"pg3";"Page4",#N/A,FALSE,"PL";"Page5",#N/A,FALSE,"BS";"Page6",#N/A,FALSE,"CF";"Page7",#N/A,FALSE,"pg7";"Page8",#N/A,FALSE,"pg8";"Page9",#N/A,FALSE,"pg9";"Page10",#N/A,FALSE,"pg10";"Page11",#N/A,FALSE,"pg11";"Page12",#N/A,FALSE,"pg12";"Page13",#N/A,FALSE,"pg13";"Page14",#N/A,FALSE,"pg14";"Page15",#N/A,FALSE,"pg15";"Page16",#N/A,FALSE,"pg16";"Page17",#N/A,FALSE,"pg17";"Page18",#N/A,FALSE,"pg18";"Page19",#N/A,FALSE,"pg19";"Page20",#N/A,FALSE,"pg20";"Page21",#N/A,FALSE,"pg21";"Page22",#N/A,FALSE,"pg22";"Page23",#N/A,FALSE,"pg23";"Page24",#N/A,FALSE,"pg24";"Page25",#N/A,FALSE,"pg25";"Page26",#N/A,FALSE,"pg26";"Page27",#N/A,FALSE,"pg27";"Page28",#N/A,FALSE,"pg28"}</definedName>
    <definedName name="AS2DocOpenMode" hidden="1">"AS2DocumentEdit"</definedName>
    <definedName name="b" hidden="1">{#N/A,#N/A,FALSE,"DI 2 YEAR MASTER SCHEDULE"}</definedName>
    <definedName name="bb" hidden="1">{#N/A,#N/A,FALSE,"PRJCTED MNTHLY QTY's"}</definedName>
    <definedName name="bbbb" hidden="1">{#N/A,#N/A,FALSE,"PRJCTED QTRLY QTY's"}</definedName>
    <definedName name="bbbbbb" hidden="1">{#N/A,#N/A,FALSE,"PRJCTED QTRLY QTY's"}</definedName>
    <definedName name="BEx00UVDDR1YX0D3KH0S2ZGS21O7" hidden="1">#N/A</definedName>
    <definedName name="BEx01IEEVN75QNZ00TSU1588D1EN" hidden="1">#N/A</definedName>
    <definedName name="BEx01RJFONBXWHH2MIQ70X7UZXVY" hidden="1">#N/A</definedName>
    <definedName name="BEx01TMZIS9E1QMR1N6M37HRKZQQ" hidden="1">#N/A</definedName>
    <definedName name="BEx02L2B0Z9C4JITTNAMNQUYIAQ3" hidden="1">#N/A</definedName>
    <definedName name="BEx1H2Z27HC9UAYE98D4NAE8UDL0" hidden="1">#N/A</definedName>
    <definedName name="BEx1HT711UN1G1O1UGBNRML5MV96" hidden="1">#N/A</definedName>
    <definedName name="BEx1IBS1AVZDDK2O5ZWJOXXADCV7" hidden="1">#N/A</definedName>
    <definedName name="BEx1K061YYI84GHNTCXC67YXBZD3" hidden="1">#N/A</definedName>
    <definedName name="BEx1K6RFIR3KSCMTXBUVMKEMVJ5M" hidden="1">#N/A</definedName>
    <definedName name="BEx1N7ELBM5AD5GTVWP1G6HSH169" hidden="1">#N/A</definedName>
    <definedName name="BEx1NGUEY2RBGCM6IEIMRIF9DUGF" hidden="1">#N/A</definedName>
    <definedName name="BEx1NI1JF71MFU0EQA2NXG8E5DC7" hidden="1">#N/A</definedName>
    <definedName name="BEx1NQKYMCO6N4ISG6XEB7EHH2O4" hidden="1">#N/A</definedName>
    <definedName name="BEx1Q8CEAC38FZIHY2TSRMBK8S53" hidden="1">#N/A</definedName>
    <definedName name="BEx1RPOXHM3OCW6QL8KE9YS7ZIR1" hidden="1">#N/A</definedName>
    <definedName name="BEx1S42OA379M83TUDVW4M3KTOD7" hidden="1">#N/A</definedName>
    <definedName name="BEx1SBVCTJD9JNNWCDLKN66E1Q6I" hidden="1">#REF!</definedName>
    <definedName name="BEx1T4SHUCK1NOMOXJYRM9CJSIP0" hidden="1">#N/A</definedName>
    <definedName name="BEx1UAWCSXF466F06Q122VU8PQ49" hidden="1">#N/A</definedName>
    <definedName name="BEx1UGL62ZP7CIFK9RYI7ZCMYGWE" hidden="1">#N/A</definedName>
    <definedName name="BEx3CCHCAL0RX9S5OM4PW2RZSW0H" hidden="1">#N/A</definedName>
    <definedName name="BEx3ECUXV16N7C31UZW3DU7GTYIT" hidden="1">#N/A</definedName>
    <definedName name="BEx3FJKEVW0A8U45KAJ5DJL10OBV" hidden="1">#N/A</definedName>
    <definedName name="BEx3G1UL0J1LQIHTZ1XVTCH7DMXL" hidden="1">#N/A</definedName>
    <definedName name="BEx3GA8O2DMSKCB0LZ1JKE9T06BH" hidden="1">#N/A</definedName>
    <definedName name="BEx3HS6TXHFX1SZGWDKRW0QNTBUM" hidden="1">#N/A</definedName>
    <definedName name="BEx3I9PXDEIJFV8TSI5O6FSGHNA0" hidden="1">#N/A</definedName>
    <definedName name="BEx3J98EDGR4ESQRK5B09NU5FDVB" hidden="1">#N/A</definedName>
    <definedName name="BEx3KBLCBZJKJKS3RQ3DGMARZGBT" hidden="1">#N/A</definedName>
    <definedName name="BEx3LBK39NRBTVYRIA3DJK6FQATI" hidden="1">#N/A</definedName>
    <definedName name="BEx3LM1PJO3IYRYVJ2O3NAB9USCV" hidden="1">#REF!</definedName>
    <definedName name="BEx3MU94255872SLE56YEA4KKP73" hidden="1">#N/A</definedName>
    <definedName name="BEx3NFJ6S1VPGIOZV0G5QA0DKNFE" hidden="1">#N/A</definedName>
    <definedName name="BEx3O6I2GI4SXH2Q3V5I6PVRTN0S" hidden="1">#N/A</definedName>
    <definedName name="BEx3OJ8Q1E1ZWLHJ8IJ2WI6YUEV8" hidden="1">#N/A</definedName>
    <definedName name="BEx3P42JAJOE96OGZ8ZGQ3YY4F9H" hidden="1">#N/A</definedName>
    <definedName name="BEx3PIWP9PXG8HV2O5Y24ED1TQK1" hidden="1">#N/A</definedName>
    <definedName name="BEx3QGBM9GJE8305Y9LQ8YPCR4OF" hidden="1">#N/A</definedName>
    <definedName name="BEx3RMFI0F03ZT2P0D7FINEVYJXX" hidden="1">#N/A</definedName>
    <definedName name="BEx3S4PPBAXE3TG08XEKPKIVHITT" hidden="1">#N/A</definedName>
    <definedName name="BEx3VC3JLB83NWUF21UM7J99AQ6S" hidden="1">#N/A</definedName>
    <definedName name="BEx584KKBIEQIK89VUSJQFHPS0X6" hidden="1">#N/A</definedName>
    <definedName name="BEx58PP61J9NDUYZXBZOS23VYCW1" hidden="1">#N/A</definedName>
    <definedName name="BEx5ANOGJCYRMG7GUSEXSQS9XEGK" hidden="1">#N/A</definedName>
    <definedName name="BEx5BO8RIZ8LVEFT8DY0L4MRN2PJ" hidden="1">#N/A</definedName>
    <definedName name="BEx5COI7084ZRQHSYZHQRPHHS8T4" hidden="1">#N/A</definedName>
    <definedName name="BEx5ESBYAJCJYJQYF1X8GLXYH341" hidden="1">#N/A</definedName>
    <definedName name="BEx5F99HMSY8B1FAW5P633OG2ABZ" hidden="1">#N/A</definedName>
    <definedName name="BEx5GBH3CTI07TT2565FO5I4LZ32" hidden="1">#N/A</definedName>
    <definedName name="BEx5GTLYHBYW0SLPJORDC1NWCR7F" hidden="1">#REF!</definedName>
    <definedName name="BEx5H5AKMUBQZK9AR6YMA4KFXPUG" hidden="1">#N/A</definedName>
    <definedName name="BEx5HPZ2DY5528VYS17PJY39ALHG" hidden="1">#N/A</definedName>
    <definedName name="BEx5HT9RC17HP6H8HPGFK46TT15M" hidden="1">#REF!</definedName>
    <definedName name="BEx5HVYU8P0WHL4USC6M5Z4K90SF" hidden="1">#N/A</definedName>
    <definedName name="BEx5HXGSO8IZJ5G4QN012B0JCGCP" hidden="1">#N/A</definedName>
    <definedName name="BEx5IAI2O3LBRTC58HMU37U5D9YW" hidden="1">#N/A</definedName>
    <definedName name="BEx5J8O3SU1R8N7PIE0CSCZTJ3BV" hidden="1">#N/A</definedName>
    <definedName name="BEx5KAQEL2IKC9U9BW8YNAVFPR6I" hidden="1">#N/A</definedName>
    <definedName name="BEx5KJQ1T4R67RIXW41AMKA82JTM" hidden="1">#N/A</definedName>
    <definedName name="BEx5KPPUX42GJYKCVAQQBI5FEQGO" hidden="1">#N/A</definedName>
    <definedName name="BEx5KRNXKYMLWG0JT417S3AQ9WSJ" hidden="1">#N/A</definedName>
    <definedName name="BEx5KW0AYF18Y2FPID0049TLKKY8" hidden="1">#N/A</definedName>
    <definedName name="BEx5MLQYBNRE5ZG5FMNEBVI47EBC" hidden="1">#N/A</definedName>
    <definedName name="BEx5MY1BWL6MEJMBQM0T0D35A04B" hidden="1">#N/A</definedName>
    <definedName name="BEx5OZGN03GRMUGGOIY8OPHG7PHA" hidden="1">#N/A</definedName>
    <definedName name="BEx5PXS40TF956WT0ZH5D83BAEVC" hidden="1">#N/A</definedName>
    <definedName name="BEx5QKPGQGAQVQP9X2SUU4IXTG8K" hidden="1">#N/A</definedName>
    <definedName name="BEx73ZI80T5KG54GAD40COGMG1DD" hidden="1">#N/A</definedName>
    <definedName name="BEx75DPEEGDYMDENBWTEDGE3TCQ5" hidden="1">#N/A</definedName>
    <definedName name="BEx76R5P6M4067FWBFI271VZR4U1" hidden="1">#N/A</definedName>
    <definedName name="BEx77YWUMUAH2CMO7DQVX7IHJSKE" hidden="1">#N/A</definedName>
    <definedName name="BEx78MAESOQEEK44T3IFRQ15NNPH" hidden="1">#N/A</definedName>
    <definedName name="BEx78SA7TGS6G8KRSXX8NZSARV85" hidden="1">#N/A</definedName>
    <definedName name="BEx7APYQ1W2TONMWF7VNRB09QJYD" hidden="1">#REF!</definedName>
    <definedName name="BEx7BLKXXVAR1PD21OEF6VAWQQHG" hidden="1">#N/A</definedName>
    <definedName name="BEx7CW6NGEMWJL43RVZ1M9TGSIIU" hidden="1">#N/A</definedName>
    <definedName name="BEx7DUSS8BNOHWOB68TJJGE7NPLT" hidden="1">#N/A</definedName>
    <definedName name="BEx7EJOC2IO2DJPLTXE295MZD41I" hidden="1">#N/A</definedName>
    <definedName name="BEx7EOBMSPBI59ICILVEJ98P3ZQ4" hidden="1">#N/A</definedName>
    <definedName name="BEx7EX0KW8KH8H8UOACO9DTGTX0R" hidden="1">#N/A</definedName>
    <definedName name="BEx7FDHSEEHB5I6YSNO96BZ6HQ76" hidden="1">#N/A</definedName>
    <definedName name="BEx7FIFWUH4UYP5SOCF437C2B1VQ" hidden="1">#N/A</definedName>
    <definedName name="BEx7FWJ1SO7LMY0UMEI1QCDBZTT1" hidden="1">#N/A</definedName>
    <definedName name="BEx7HHX610P7YHM67KCD3AXGOH58" hidden="1">#N/A</definedName>
    <definedName name="BEx7HW0AWFX0191GBAHYHJ0G4X4A" hidden="1">#N/A</definedName>
    <definedName name="BEx7IFS9KX2IMQRILMIVMBV98U8Z" hidden="1">#N/A</definedName>
    <definedName name="BEx7IO119EW2L2GENECIYH3M5663" hidden="1">#N/A</definedName>
    <definedName name="BEx7JOL77MH7IF60IOY21X6Y69MT" hidden="1">#N/A</definedName>
    <definedName name="BEx7KDWUV6TJWIRY35I59L6M3VGV" hidden="1">#N/A</definedName>
    <definedName name="BEx7KKIE30A8HFG80FYXAS812T3U" hidden="1">#N/A</definedName>
    <definedName name="BEx7M7UKIRUB4JSQKR35AYMM0MPI" hidden="1">#N/A</definedName>
    <definedName name="BEx90KO37TSBQKOG0W5APDE2M2H5" hidden="1">#N/A</definedName>
    <definedName name="BEx90N2DKUGS8U7HQKNPXO81IYN8" hidden="1">#REF!</definedName>
    <definedName name="BEx90P5WEHV095YDDMI5I6YCQEO6" hidden="1">#N/A</definedName>
    <definedName name="BEx912HYLMI2KKD60YOOXFEMNW2E" hidden="1">#N/A</definedName>
    <definedName name="BEx91OJ2OGKZR3RU5KHRBPB20JI9" hidden="1">#N/A</definedName>
    <definedName name="BEx91QRWIG74W1KQGG7PZZ58NN4B" hidden="1">#N/A</definedName>
    <definedName name="BEx9336EPEOOERJA85GANSXSVYH9" hidden="1">#N/A</definedName>
    <definedName name="BEx93CRO7US4R7W3OAPCDRAI63FC" hidden="1">#REF!</definedName>
    <definedName name="BEx93Y1PXA214FLPJUYQ3R1JCLUA" hidden="1">#N/A</definedName>
    <definedName name="BEx94RPVOED3VIAASHHD6VHVA31L" hidden="1">#N/A</definedName>
    <definedName name="BEx96WAEQBGQOU22DQWTRMBYYC5U" hidden="1">#N/A</definedName>
    <definedName name="BEx972VRBRCRGM9EUTQRLHPVJWZ3" hidden="1">#N/A</definedName>
    <definedName name="BEx97VI3QKY00DCPR1E9ORFWUBCT" hidden="1">#N/A</definedName>
    <definedName name="BEx9AI251GP09OZIJ1JZ101A9L00" hidden="1">#N/A</definedName>
    <definedName name="BEx9BGDHF2NDC6L2AGCTXHIKAND0" hidden="1">#N/A</definedName>
    <definedName name="BEx9C6G6N16PJLKUK5J8ZK4SM8KP" hidden="1">#N/A</definedName>
    <definedName name="BEx9D0KHAKGWI66NPKWZ8XGX5J3X" hidden="1">#N/A</definedName>
    <definedName name="BEx9G6046UD43Y6JTAC0TGCHBRHH" hidden="1">#N/A</definedName>
    <definedName name="BEx9GJ1K4JLR2BAU8MWU2IWY7PVR" hidden="1">#N/A</definedName>
    <definedName name="BEx9H10XGSLSW1ZYVS9ZD15TA6LH" hidden="1">#N/A</definedName>
    <definedName name="BEx9H40NCHJP7XC6WJU0EG4MO0XO" hidden="1">#N/A</definedName>
    <definedName name="BEx9HMLRZGMEX2S5LNI3ZVXED5V4" hidden="1">#N/A</definedName>
    <definedName name="BEx9IERTCK59RGZ9VF9K272I21WK" hidden="1">#N/A</definedName>
    <definedName name="BExAYIDNN6OP70UXOPUMSJIYKXJG" hidden="1">#N/A</definedName>
    <definedName name="BExAZ5R8RDRBC3VGBF4TRJ49TA0G" hidden="1">#N/A</definedName>
    <definedName name="BExAZC750EP58RWFJ98F9QZM9NCE" hidden="1">#N/A</definedName>
    <definedName name="BExAZP8FVUJS72FFGL9VCY6BS94I" hidden="1">#N/A</definedName>
    <definedName name="BExB0NJW5GZX895XAMWCGENH9EUV" hidden="1">#N/A</definedName>
    <definedName name="BExB19KUYSKBPC1U9IYWEZZFZRB7" hidden="1">#N/A</definedName>
    <definedName name="BExB245DK18PL7REYBL0N17RAUNZ" hidden="1">#N/A</definedName>
    <definedName name="BExB2Z62DP95R0TU3AORRTZ4AJCN" hidden="1">#N/A</definedName>
    <definedName name="BExB4966Y2NUGLQ35Z4CHD2TLNNM" hidden="1">#N/A</definedName>
    <definedName name="BExB6X2PFFS0DABKN99XTA4UHU40" hidden="1">#N/A</definedName>
    <definedName name="BExB7J3UPDHNPN0L2UEHSC6CI2FG" hidden="1">#REF!</definedName>
    <definedName name="BExBAWXK7HVD7XO3L1IESIM3RY19" hidden="1">#N/A</definedName>
    <definedName name="BExBC6HG577196SWL5AAGA5NVWCV" hidden="1">#N/A</definedName>
    <definedName name="BExBDCLBJCS7MREFQ105D9OW7ZRS" hidden="1">#N/A</definedName>
    <definedName name="BExCS9HPBH2J1F7E756JTUMJCESJ" hidden="1">#N/A</definedName>
    <definedName name="BExCSFC1SL0RQS8T5R9OPDBIDG29" hidden="1">#N/A</definedName>
    <definedName name="BExCVKMCH7EGC7199Y3DXWB2HHGO" hidden="1">#N/A</definedName>
    <definedName name="BExCVLO6YGXR8RN24B45WYS9D16U" hidden="1">#N/A</definedName>
    <definedName name="BExCW4P8P0UC4496M9S2ILPV0YA7" hidden="1">#N/A</definedName>
    <definedName name="BExCXMY68TZMBG2TOK4GS5Z67PSP" hidden="1">#N/A</definedName>
    <definedName name="BExCXZ8JTRFNVEVT2U04ZU9JGDPN" hidden="1">#N/A</definedName>
    <definedName name="BExCY3A4MICUZU4K2Q6J6S9IHSKO" hidden="1">#N/A</definedName>
    <definedName name="BExCY52VSY611VH4JBPC3MIRU0G3" hidden="1">#N/A</definedName>
    <definedName name="BExD1CRHZCC5KC4KL943XKHM3WFZ" hidden="1">#N/A</definedName>
    <definedName name="BExD1CRIXWPQ8NV25326VCQQEQO5" hidden="1">#REF!</definedName>
    <definedName name="BExD4KW840JFL1B0HVENU6KU3FOF" hidden="1">#N/A</definedName>
    <definedName name="BExD5DILBFEAR7A02JUYGXJZF3UJ" hidden="1">#N/A</definedName>
    <definedName name="BExD5OR8SLMR2M9WYTRFCSSMBWPY" hidden="1">#N/A</definedName>
    <definedName name="BExD62UEBPHDTEUYWG6GFN10MPUJ" hidden="1">#REF!</definedName>
    <definedName name="BExD6FA2L11H03NHLY81VOJATWMU" hidden="1">#N/A</definedName>
    <definedName name="BExD96HBC9QZM30WBO3D2CIL48F4" hidden="1">#N/A</definedName>
    <definedName name="BExD9C0Z1WTPPMFUXL361GEMP7HW" hidden="1">#N/A</definedName>
    <definedName name="BExD9Y78YK4MD5WQTBWDUCT1ALLJ" hidden="1">#N/A</definedName>
    <definedName name="BExDAO9YBFBFABBYZJEHNB05G1EG" hidden="1">#N/A</definedName>
    <definedName name="BExDAXPW0XX9ARYCF0M1Y7VHRETP" hidden="1">#N/A</definedName>
    <definedName name="BExDBZBWSD7I1NXXKUUQNIIKGVRB" hidden="1">#N/A</definedName>
    <definedName name="BExEO2XDYM2BXUUY0QFRQFH5BZ9C" hidden="1">#N/A</definedName>
    <definedName name="BExEQZZ2CB3VR5VKK6TC22HVGUC5" hidden="1">#N/A</definedName>
    <definedName name="BExERM5HUUG5YC2J8LAZB71DWAW6" hidden="1">#N/A</definedName>
    <definedName name="BExERR3GQITGLCCEZ5RRDKFLRNF6" hidden="1">#N/A</definedName>
    <definedName name="BExESHGZB547VMRJOPABUZBYGOWB" hidden="1">#N/A</definedName>
    <definedName name="BExESKX55257DP8YUX3UQRZ03CY0" hidden="1">#N/A</definedName>
    <definedName name="BExESU7GITSJZWKJO5BMOXW7BAHM" hidden="1">#N/A</definedName>
    <definedName name="BExET0781MGXP3F9LEDDMCYMQVLL" hidden="1">#N/A</definedName>
    <definedName name="BExET9HQ5TNIA8P2SBFNAJ8HN6AR" hidden="1">#N/A</definedName>
    <definedName name="BExEU59EPYAKROXI87EUDSANXW6C" hidden="1">#N/A</definedName>
    <definedName name="BExEV22T3644SBH96AHPHSBJNVWG" hidden="1">#N/A</definedName>
    <definedName name="BExEW5XNEC99QWWPEW2ZYAC4DL5U" hidden="1">#N/A</definedName>
    <definedName name="BExEWAQAKXDLKZ4TO29TT3JQIBF8" hidden="1">#N/A</definedName>
    <definedName name="BExEWF85OIJ2EVRTS10VL29V4Q8C" hidden="1">#N/A</definedName>
    <definedName name="BExEX61VPRPL3G5UBN48AWLUXYQK" hidden="1">#N/A</definedName>
    <definedName name="BExEXKVWTICCD3PGD3A8UXYFMSHS" hidden="1">#N/A</definedName>
    <definedName name="BExEY6WU9JI6G3Q2LY07P0KDT608" hidden="1">#N/A</definedName>
    <definedName name="BExEYOLGYUQM2U2AVCR7NEEP3RV6" hidden="1">#N/A</definedName>
    <definedName name="BExEZ4HBCC06708765M8A06KCR7P" hidden="1">#N/A</definedName>
    <definedName name="BExF21Z2WZT6AYDC5OJJNQ70TP5V" hidden="1">#N/A</definedName>
    <definedName name="BExF24O7SX657YDST0X2QGRZEBIR" hidden="1">#N/A</definedName>
    <definedName name="BExF2IWTHEH1IJ7YLARW3Y2XIE3R" hidden="1">#N/A</definedName>
    <definedName name="BExF3PM97J457WMJE5LH680OFBM1" hidden="1">#N/A</definedName>
    <definedName name="BExF52RJTLZS4X4RJ087X40GYBXB" hidden="1">#N/A</definedName>
    <definedName name="BExF5FYCOZUZX9O5FYG95QD0KSF8" hidden="1">#N/A</definedName>
    <definedName name="BExF60HC0KXTEGOI1ZRWESB0T31A" hidden="1">#N/A</definedName>
    <definedName name="BExF6HV45HP9N3YVTTNGFBVHTIMW" hidden="1">#REF!</definedName>
    <definedName name="BExGLQAT2KEPQXBZJTYIMCSMCM09" hidden="1">#N/A</definedName>
    <definedName name="BExGMEFBRXZCU9TQ3U0BQNWUNGFU" hidden="1">#N/A</definedName>
    <definedName name="BExGNHE02MJHL7NWD7IV7COS7R1H" hidden="1">#N/A</definedName>
    <definedName name="BExGOMAPT78N1KZPO6IN3M6RZ6V4" hidden="1">#N/A</definedName>
    <definedName name="BExGQAZH6ZD9F1SIG00PAUPMAX9G" hidden="1">#N/A</definedName>
    <definedName name="BExGSF9DWHIXC5NI9AI5A68Y52YY" hidden="1">#N/A</definedName>
    <definedName name="BExGVS1B4XIFEJEEP63UFALX3EBF" hidden="1">#N/A</definedName>
    <definedName name="BExGW4122CMN2HU6SYELAT6UJMVQ" hidden="1">#N/A</definedName>
    <definedName name="BExGXFOF6LM0U42RDEUO58GXEE9L" hidden="1">#N/A</definedName>
    <definedName name="BExGYJDYGD5PNT3TQRW43C3Y8PB6" hidden="1">#N/A</definedName>
    <definedName name="BExGZF07D1KS8XNNVQHQ1R44P9GO" hidden="1">#N/A</definedName>
    <definedName name="BExH17L9O760AYSX9QOKRQMBHPYO" hidden="1">#REF!</definedName>
    <definedName name="BExH1DVUXB984BTOUJPY2MDX1GQU" hidden="1">#N/A</definedName>
    <definedName name="BExH2I709KGLJQPI5HN9SD9SYUU5" hidden="1">#N/A</definedName>
    <definedName name="BExH4055P3JAMIVFOAW3ENIJX4NT" hidden="1">#N/A</definedName>
    <definedName name="BExIH407E7MUYCUZDXTD2GGPKEPU" hidden="1">#N/A</definedName>
    <definedName name="BExIHAWCOUDJ5FDBJOX6WI4X501G" hidden="1">#N/A</definedName>
    <definedName name="BExIHJ4YWKH3D073SBNDTF9E7D7R" hidden="1">#REF!</definedName>
    <definedName name="BExIJ72X4ZF06QQTP710F83TC2EQ" hidden="1">#N/A</definedName>
    <definedName name="BExIKZNYZ2I3SXR259JTTIZ9J116" hidden="1">#N/A</definedName>
    <definedName name="BExILJW7J8GRQI9IX18NM6MQF06Q" hidden="1">#N/A</definedName>
    <definedName name="BExILL3DTFJ96E3ZW49IN41ZWSRH" hidden="1">#N/A</definedName>
    <definedName name="BExILLUEAZQBGZMZVUKAGX3LNM0P" hidden="1">#N/A</definedName>
    <definedName name="BExILVVRM64CQKYAJFMXNHU76EYA" hidden="1">#N/A</definedName>
    <definedName name="BExIM4KQ4UQ34VIAVCLWDGUXVZX0" hidden="1">#N/A</definedName>
    <definedName name="BExINC11269OPI4GFE4WMJZE4C7I" hidden="1">#REF!</definedName>
    <definedName name="BExINE4PC5ZO5OGJ0916PSAWBWD1" hidden="1">#N/A</definedName>
    <definedName name="BExINLX31HMNKOKRJ3Y2XAKSATLV" hidden="1">#N/A</definedName>
    <definedName name="BExINVICUTI7AO4RK8NOAIXC0YWX" hidden="1">#N/A</definedName>
    <definedName name="BExIP461BBVQXX9DMD98YTPJ10LX" hidden="1">#N/A</definedName>
    <definedName name="BExIP6K6PAEQHYK0X3YAT666XDKE" hidden="1">#N/A</definedName>
    <definedName name="BExIR2G3HFJQGXYAKAXK11C3PG3Q" hidden="1">#N/A</definedName>
    <definedName name="BExIR558TD0ZKTR6NYXW5YE6P4EV" hidden="1">#N/A</definedName>
    <definedName name="BExIRYT85591CS44JO1J7IJLJB88" hidden="1">#N/A</definedName>
    <definedName name="BExISFW8NP74R5ECSN8IE4P7UO0B" hidden="1">#N/A</definedName>
    <definedName name="BExIT5DC3ERBAY1GUY4PYVEBQ8HF" hidden="1">#N/A</definedName>
    <definedName name="BExIT7RMYZQ7WZXYJUPC2W67MTZL" hidden="1">#N/A</definedName>
    <definedName name="BExITKI4Z1ZRHSC7J7K6ZB1N0NA9" hidden="1">#N/A</definedName>
    <definedName name="BExITZCC49GB9DOJJSQGV817J96I" hidden="1">#N/A</definedName>
    <definedName name="BExIVB573RHTKSNOUB7T5Y0M142R" hidden="1">#N/A</definedName>
    <definedName name="BExIVL12FUKMCYE0TC9YOMX0WZMQ" hidden="1">#N/A</definedName>
    <definedName name="BExIVVO6Z6WJV3C2DVS9AY5MPR8O" hidden="1">#N/A</definedName>
    <definedName name="BExIWOW3WLNTMZG7RCDSCCZE5NHK" hidden="1">#N/A</definedName>
    <definedName name="BExIWWJBQEMM73JPL52SWX8WKMRW" hidden="1">#N/A</definedName>
    <definedName name="BExIX4BUQ3J3REM5Y361CIPI0RE4" hidden="1">#N/A</definedName>
    <definedName name="BExIX581TF61SQX1M1MYBXAEFF6M" hidden="1">#N/A</definedName>
    <definedName name="BExIXVWCN87D5IP72XGA5OV1JC08" hidden="1">#N/A</definedName>
    <definedName name="BExIYGA0LVV0V92RDPD1BI7YV9LM" hidden="1">#N/A</definedName>
    <definedName name="BExJ06RMZIIASE09ZMMINJ7JUDWW" hidden="1">#N/A</definedName>
    <definedName name="BExJ0C5STWJD1NNC1S6I5N9BHQSB" hidden="1">#N/A</definedName>
    <definedName name="BExJ0NJTQ9BQSC9DD106YUU6KJYK" hidden="1">#N/A</definedName>
    <definedName name="BExKDIF5JPYNFOR6I8S4CJWM4VW1" hidden="1">#N/A</definedName>
    <definedName name="BExKDKTHNOM9QYAO2BPAWPDELI2A" hidden="1">#N/A</definedName>
    <definedName name="BExKEYPVG6ZNJMIMWGWTAI42LUM4" hidden="1">#N/A</definedName>
    <definedName name="BExKG90S3CPB30X7FE94HAV5A089" hidden="1">#N/A</definedName>
    <definedName name="BExKGI5SRG72S88UDT674EA74NSN" hidden="1">#N/A</definedName>
    <definedName name="BExKI9EDYGWWUQ5NDV9HESR2TRYS" hidden="1">#N/A</definedName>
    <definedName name="BExKIALK8GBHTBYYA355OOQSMT4J" hidden="1">#N/A</definedName>
    <definedName name="BExKJPJN6SJY2HEB5J476KQ8274G" hidden="1">#N/A</definedName>
    <definedName name="BExKKPYOTDYGH5IZWD7TSX6LCHI4" hidden="1">#N/A</definedName>
    <definedName name="BExKL2EE07GJI85QN8JLY2WBI79P" hidden="1">#N/A</definedName>
    <definedName name="BExKMROS3QGB2Q9DXUOL4BZBJMP6" hidden="1">#N/A</definedName>
    <definedName name="BExKMWS7XLA6BFIS28VHSLB2K7D0" hidden="1">#N/A</definedName>
    <definedName name="BExKN49XLOTK7RAHX3E2GRC3VXXJ" hidden="1">#N/A</definedName>
    <definedName name="BExKOYYDX6ZZ10N3DUGROIO0YEXX" hidden="1">#REF!</definedName>
    <definedName name="BExKPEE4TGR8CTIK6B2AX7R7Q58R" hidden="1">#N/A</definedName>
    <definedName name="BExKPF56U2Q4TDOO175KCGBJMHAY" hidden="1">#N/A</definedName>
    <definedName name="BExKQOE9NV6V2TMJ9OPVS959KH36" hidden="1">#N/A</definedName>
    <definedName name="BExKQSW4LOXEAA6QN3VT64DSD2X0" hidden="1">#N/A</definedName>
    <definedName name="BExKQUZMO8SDRM1SN31XR2H1LXBT" hidden="1">#N/A</definedName>
    <definedName name="BExKRUNLOGQMVYXXTRCWN3VH3J2M" hidden="1">#N/A</definedName>
    <definedName name="BExKS9SDQ0WXYDCPP4WW51HCIM1Z" hidden="1">#N/A</definedName>
    <definedName name="BExKT2EQUNXMS66TFWAR9TYG1JG4" hidden="1">#N/A</definedName>
    <definedName name="BExMAU94A222N5ZQ8JIWS25PS0ZE" hidden="1">#N/A</definedName>
    <definedName name="BExMBDL3LG3XMIN63C5T22R8BB05" hidden="1">#N/A</definedName>
    <definedName name="BExMC07OXORHZASG6C6VEF5QB94C" hidden="1">#N/A</definedName>
    <definedName name="BExMC8R9CNIRBTSATSGWP0S8M66B" hidden="1">#N/A</definedName>
    <definedName name="BExMC97CP60DBO1MWRR9N3VWJS34" hidden="1">#N/A</definedName>
    <definedName name="BExMD90NIBHK0P7M98ZKCMHVR107" hidden="1">#N/A</definedName>
    <definedName name="BExMDF0FJOH9VIHFJH98UT5HCCQA" hidden="1">#N/A</definedName>
    <definedName name="BExMDVSN30K2RW56IB0DUA1L8GT7" hidden="1">#N/A</definedName>
    <definedName name="BExME9FINVDX97XSVR36D8D8TCKE" hidden="1">#N/A</definedName>
    <definedName name="BExMF7G2H75SDI6EQRDTM7Y9LXZ6" hidden="1">#N/A</definedName>
    <definedName name="BExMGM8T6TG39NT8HBOAXGGZOKF8" hidden="1">#N/A</definedName>
    <definedName name="BExMGO6ZW0IJZ4DF8KC4LVPUCJMC" hidden="1">#N/A</definedName>
    <definedName name="BExMIGXF64UKAXDASTJI8AQVSESJ" hidden="1">#N/A</definedName>
    <definedName name="BExMIOVGJFFM8TXCVKON6ZI8AW0V" hidden="1">#N/A</definedName>
    <definedName name="BExMIXEVOVLJEZQ4VOZMJSGF865K" hidden="1">#N/A</definedName>
    <definedName name="BExMKPP5LIFIZST14JK91XJKB5JL" hidden="1">#N/A</definedName>
    <definedName name="BExMLCX97OOXWGCCLLC29HNCPUXQ" hidden="1">#N/A</definedName>
    <definedName name="BExMNPAI5HNGJ6L1FUZY9EAK5GWV" hidden="1">#N/A</definedName>
    <definedName name="BExMQA72OXNR6PUGA76HS526ND8K" hidden="1">#N/A</definedName>
    <definedName name="BExMQDXW3NAJJBJXHB8LQ3LBW867" hidden="1">#N/A</definedName>
    <definedName name="BExMQE8NIQY9Q0BO6FL69WGA33YE" hidden="1">#N/A</definedName>
    <definedName name="BExMQVRYZ6P7EBNL67MH0K3AESZQ" hidden="1">#N/A</definedName>
    <definedName name="BExMR40LKCPPNNRSQCGNY91XKFIW" hidden="1">#N/A</definedName>
    <definedName name="BExMRBYLIFS9VH2SM4I7GA923B2L" hidden="1">#N/A</definedName>
    <definedName name="BExO5A8OYGEHUN79XDUVVP18JOS1" hidden="1">#N/A</definedName>
    <definedName name="BExO7QNGUFNVPM9PVBUVVXU3JSAC" hidden="1">#N/A</definedName>
    <definedName name="BExO8U29BPR1G9ZRCCL0UCE7Y8T6" hidden="1">#N/A</definedName>
    <definedName name="BExO9IXRBRL6VOKDO9AZV79NKHEL" hidden="1">#REF!</definedName>
    <definedName name="BExO9VTQK1AYW6XYGMQNX9KAMLI8" hidden="1">#N/A</definedName>
    <definedName name="BExOAUFVVL1E42ZDSW6TGED6FHLF" hidden="1">#N/A</definedName>
    <definedName name="BExOCPKQXKNBSD942P18U6RBFBRJ" hidden="1">#N/A</definedName>
    <definedName name="BExODGP3CY6I7VEL3LEKLBLWDBQP" hidden="1">#N/A</definedName>
    <definedName name="BExODLCAJ2HTXEBIEDWHVV0ZSIO3" hidden="1">#N/A</definedName>
    <definedName name="BExODTAA8TYMRBFAXGM874R4SCZW" hidden="1">#N/A</definedName>
    <definedName name="BExOE59VSW8LR8248ZU9UUFAQB2P" hidden="1">#N/A</definedName>
    <definedName name="BExOFFKSMGEG9A2MOHB0SZ3OGKP0" hidden="1">#N/A</definedName>
    <definedName name="BExOH8LZXV8DXB7LV3UFJNBHPE0V" hidden="1">#N/A</definedName>
    <definedName name="BExOHINDFNR3WEOVNTTG60FO14GK" hidden="1">#N/A</definedName>
    <definedName name="BExOIHPR9LXJEN5K5N5L3X4PKXRL" hidden="1">#N/A</definedName>
    <definedName name="BExOJYB7UQ5PPCIE00N53DUFXEXU" hidden="1">#N/A</definedName>
    <definedName name="BExOMA2V3P1BZD1G2CL4X1QA82J8" hidden="1">#N/A</definedName>
    <definedName name="BExOMSIDA0IL1E3HYSRIJTAMTRTJ" hidden="1">#N/A</definedName>
    <definedName name="BExON8E6T6Z7SWVQH671BC1R6UVA" hidden="1">#N/A</definedName>
    <definedName name="BExQ2B4WOZBSNG46D80H3M9RH1EM" hidden="1">#N/A</definedName>
    <definedName name="BExQ2MTPI5BQLZQPAMV08KMBVXVS" hidden="1">#N/A</definedName>
    <definedName name="BExQ2RMBL9EN2W9TGMPRU09G0Y04" hidden="1">#N/A</definedName>
    <definedName name="BExQ3EED6AFDJ1MJQWTKHFEHZC2E" hidden="1">#N/A</definedName>
    <definedName name="BExQ3YS22VE290WORY7Q1NJ43OSG" hidden="1">#N/A</definedName>
    <definedName name="BExQ62WGWWTS0YJWW9M3CNG3YB6K" hidden="1">#N/A</definedName>
    <definedName name="BExQ6UMEK9LNGHOC0YK3OMXGZPMF" hidden="1">#N/A</definedName>
    <definedName name="BExQ6ZV5LXHIK3S2WHHZZ0UQM0WG" hidden="1">#N/A</definedName>
    <definedName name="BExQ7J75S1MIVZZYOD0G793BI1SU" hidden="1">#N/A</definedName>
    <definedName name="BExQ9JVLAA06LXQOOBXT4TUBGXIG" hidden="1">#N/A</definedName>
    <definedName name="BExQ9TM5RSAJXR7IBTCM8DGMCS8X" hidden="1">#N/A</definedName>
    <definedName name="BExQAIC7AIGCKIV6IOIYEBZ4UQ7Q" hidden="1">#N/A</definedName>
    <definedName name="BExQAPTYXNUCFZSL91RPQPPMBCWO" hidden="1">#N/A</definedName>
    <definedName name="BExQD7FWA6HYXAWPBL59561H9W8K" hidden="1">#N/A</definedName>
    <definedName name="BExQDLOIM4QMKJD36QKII5TPI3U0" hidden="1">#N/A</definedName>
    <definedName name="BExQEX6KIKN7BB0NKRZ9KOHMT6KF" hidden="1">#N/A</definedName>
    <definedName name="BExQFDNZWZMWMUMDJWU7LIHCBI1W" hidden="1">#N/A</definedName>
    <definedName name="BExQFMYC3RY3PYFM9ROP1G691R2I" hidden="1">#N/A</definedName>
    <definedName name="BExQGJRVLLM2HN31YV2TVL6TXIIJ" hidden="1">#N/A</definedName>
    <definedName name="BExQGQIJW4RBMVQBY91WJNSUFGRS" hidden="1">#N/A</definedName>
    <definedName name="BExQHAQT2WZ5AXCSU0OT6BZ7JNJV" hidden="1">#N/A</definedName>
    <definedName name="BExQJ5VNTLGPS4K0N7GD4TRK7GRN" hidden="1">#N/A</definedName>
    <definedName name="BExQKASE18PKXXMCNI3PNXJDKUGN" hidden="1">#N/A</definedName>
    <definedName name="BExQKOVGEMFHDB5NR1QR1MA86XQ7" hidden="1">#N/A</definedName>
    <definedName name="BExRZ4ZG48A74AQUGT7KGAKSQMK1" hidden="1">#N/A</definedName>
    <definedName name="BExS09QUSJNYD5KN0O244A7RB45L" hidden="1">#N/A</definedName>
    <definedName name="BExS1RE7SWVQQKD3EQZWCV9GEDN7" hidden="1">#N/A</definedName>
    <definedName name="BExS2ONPKRZYX43ZQME29MWP4FJI" hidden="1">#N/A</definedName>
    <definedName name="BExS3POBFAI4O5JRH3SOZ9LPU7T8" hidden="1">#N/A</definedName>
    <definedName name="BExS5OP943WH5UDH11R0AE16SE6T" hidden="1">#N/A</definedName>
    <definedName name="BExS61W1CNW3AIJIZHEZASRMHQ2C" hidden="1">#N/A</definedName>
    <definedName name="BExS63DZAA6XLFZSY3W82BOT8PK0" hidden="1">#N/A</definedName>
    <definedName name="BExS83M4K8JAZO580VQABVJ1KDVF" hidden="1">#N/A</definedName>
    <definedName name="BExS8P6Z5GQK8ZX2RYBVKH82N9AT" hidden="1">#N/A</definedName>
    <definedName name="BExS9MGNRDY4D2477CADUVPF8LBG" hidden="1">#N/A</definedName>
    <definedName name="BExSA51F619KD6JQV5XFYRUCCPMR" hidden="1">#N/A</definedName>
    <definedName name="BExSALTNNXPSBK6IP1WJXIBI5ZGQ" hidden="1">#N/A</definedName>
    <definedName name="BExSB1USEA8EEYKK36VKB5AUC66P" hidden="1">#N/A</definedName>
    <definedName name="BExSB9NCQMH3JCDRWYTLM4BZ4HET" hidden="1">#N/A</definedName>
    <definedName name="BExSDHO6R2H0CPDI40L4FUJFVZJL" hidden="1">#N/A</definedName>
    <definedName name="BExSDSB4LWF8SG48JYR3OD4WLRZ9" hidden="1">#N/A</definedName>
    <definedName name="BExSE2NH8FIX5WONBDJ2FVKMKLNX" hidden="1">#N/A</definedName>
    <definedName name="BExSEPQ3CL0GU5KW8HN3JOEIVJWJ" hidden="1">#N/A</definedName>
    <definedName name="BExSFTFMVQIX2H422Z52OBJA9MN4" hidden="1">#N/A</definedName>
    <definedName name="BExSGAING7LSSF6REM8IRQA8FPSO" hidden="1">#N/A</definedName>
    <definedName name="BExTU222HUUEQ3H9DJHZ6ZGFNCXP" hidden="1">#N/A</definedName>
    <definedName name="BExTUVFG4P2DYY34X8TBLJYEP92B" hidden="1">#N/A</definedName>
    <definedName name="BExTX05FG1M048G9R7NQT6RJMNPX" hidden="1">#N/A</definedName>
    <definedName name="BExTXLKSZOGR60PQF9GSMGRCJ6KR" hidden="1">#N/A</definedName>
    <definedName name="BExU117HNWN6BOKL81F1DATEJB2A" hidden="1">#N/A</definedName>
    <definedName name="BExU1LL6SDSHGY134XR73YZM88U0" hidden="1">#N/A</definedName>
    <definedName name="BExU2R8RL13CK7C9BNBPBOFBCYH2" hidden="1">#N/A</definedName>
    <definedName name="BExU4J8AD8AHRC3FNCSAXPTF1NM3" hidden="1">#N/A</definedName>
    <definedName name="BExU4M862A64P0CJCUDTC50NJZEJ" hidden="1">#N/A</definedName>
    <definedName name="BExU4NFCMPWH2Z8O2YYYLWN29HX7" hidden="1">#N/A</definedName>
    <definedName name="BExU5H3IUHDHN6E9TL2GR0YQWH5O" hidden="1">#N/A</definedName>
    <definedName name="BExU6DRK9L587YQI44N5QZ8SC1WF" hidden="1">#N/A</definedName>
    <definedName name="BExU6WN6C9HYPRG0JXB6Z1QXJCSX" hidden="1">#N/A</definedName>
    <definedName name="BExU7M49EQT9MCD03S4UVO25EI4P" hidden="1">#N/A</definedName>
    <definedName name="BExU8192LP54TVF1HSDN0V7UM2LG" hidden="1">#N/A</definedName>
    <definedName name="BExU8TQ2FUMZRDGETGZA0J8PFEK7" hidden="1">#N/A</definedName>
    <definedName name="BExUAI45PDKCIUHQ3Z35CCXIW0EW" hidden="1">#N/A</definedName>
    <definedName name="BExUAJ5Y2OL0ZNBT21YBHNHF2SJL" hidden="1">#N/A</definedName>
    <definedName name="BExUBQRTEKQKXMNMP0DKDC6L4553" hidden="1">#N/A</definedName>
    <definedName name="BExVRGVX42LF9RYWP1AU66RI0PTB" hidden="1">#N/A</definedName>
    <definedName name="BExVRIONPDY720CUWPTYXHW6K8XU" hidden="1">#N/A</definedName>
    <definedName name="BExVRYKJ7ENK2RY164H8915UHQ70" hidden="1">#N/A</definedName>
    <definedName name="BExVS19NI7J6E3YCE0YSY52JI7E6" hidden="1">#N/A</definedName>
    <definedName name="BExVSBR8SSSKR5PM0KZ69UFOII8R" hidden="1">#N/A</definedName>
    <definedName name="BExVSRHQVUMKJ0E1EYX5A5QSCJ5U" hidden="1">#N/A</definedName>
    <definedName name="BExVTQEOV3EO43XTT7YIU3F91GUV" hidden="1">#N/A</definedName>
    <definedName name="BExVUCVRF0E5JHNV8WVUXG57CUI5" hidden="1">#N/A</definedName>
    <definedName name="BExVUWD892BCJG1N5IX09ZSJ3REL" hidden="1">#N/A</definedName>
    <definedName name="BExVVDQVNG5YXOAQVNIO8OVKZ7F5" hidden="1">#N/A</definedName>
    <definedName name="BExVW8M85ME5Z3641Z3JMXX8MUNU" hidden="1">#N/A</definedName>
    <definedName name="BExVX0SGXWG6IKF2RPKVOP8WXZ6J" hidden="1">#N/A</definedName>
    <definedName name="BExVX5L43UIRE2SV3C8O427TJVSB" hidden="1">#N/A</definedName>
    <definedName name="BExVXOBDX5UMBNSPIYKRP19QJ29I" hidden="1">#N/A</definedName>
    <definedName name="BExVYGXP78BK7YJ6KD0B1EESY4QK" hidden="1">#N/A</definedName>
    <definedName name="BExVZ5YPHGV9ZKSW12IJSZ1HIXPY" hidden="1">#N/A</definedName>
    <definedName name="BExW1AU109967JJCHLDXZ3QZSNH6" hidden="1">#N/A</definedName>
    <definedName name="BExW1D8C5FU04IZSD0EI4YS4N2LR" hidden="1">#REF!</definedName>
    <definedName name="BExW2Y0VRZY13TZLERICVXTC03BF" hidden="1">#N/A</definedName>
    <definedName name="BExW5C6U4VD11XF96XEN6SR74AEB" hidden="1">#REF!</definedName>
    <definedName name="BExW704KOADSBKPWO5F7YYADDR7O" hidden="1">#N/A</definedName>
    <definedName name="BExW943OKZ4WG8XZ975PUOTOZKZB" hidden="1">#N/A</definedName>
    <definedName name="BExXN11BNBEMW946Z1CJU2ULFDU6" hidden="1">#N/A</definedName>
    <definedName name="BExXNZNFO4YGHZRV2HW1CM7CYJT6" hidden="1">#N/A</definedName>
    <definedName name="BExXOZWZMB39RV0B8GJ3GU6RFVGR" hidden="1">#REF!</definedName>
    <definedName name="BExXP5B6TRTJU94M7O5EUHTMPBKW" hidden="1">#N/A</definedName>
    <definedName name="BExXPKAIBVJM0P2V9YCSLE5KPF2I" hidden="1">#N/A</definedName>
    <definedName name="BExXQCRIHRHS9RBJDPDF89JSNEE5" hidden="1">#N/A</definedName>
    <definedName name="BExXQT8YIL0OPWNG37VMKJT6ZRNB" hidden="1">#N/A</definedName>
    <definedName name="BExXQYHP4O5PIXMHND6JYQN4EXF3" hidden="1">#N/A</definedName>
    <definedName name="BExXRKTKY4Q9CSWYA5P09NS5BKBV" hidden="1">#N/A</definedName>
    <definedName name="BExXTC21QD17OPXFYJMMMP2MM809" hidden="1">#N/A</definedName>
    <definedName name="BExXUAYZDFZ4EPGF6LIDPI938E15" hidden="1">#N/A</definedName>
    <definedName name="BExXUYSU92AWK7ARMR0DPEEY7RHD" hidden="1">#N/A</definedName>
    <definedName name="BExXV7XTYLEPB1YDBPLW2MU606WR" hidden="1">#N/A</definedName>
    <definedName name="BExXV9FSQQ5OOJTO9YK7R8QMY2QP" hidden="1">#N/A</definedName>
    <definedName name="BExXVETZTPK2HJFXADMDNZ3SQ17P" hidden="1">#N/A</definedName>
    <definedName name="BExXVK87FW91XSFBJXDZB3HCEXGZ" hidden="1">#N/A</definedName>
    <definedName name="BExXW0PN1ZR2GWK7IPTQO5SOOSX1" hidden="1">#N/A</definedName>
    <definedName name="BExXWSVP8JB783KKKZAS1VUVWG0Q" hidden="1">#N/A</definedName>
    <definedName name="BExXX2X84JCUIST21X0AJCQU9SVU" hidden="1">#N/A</definedName>
    <definedName name="BExXYFX9UVLITMOQ6HAFEPL0AING" hidden="1">#N/A</definedName>
    <definedName name="BExY004946LC00C7S1KKPKIORX64" hidden="1">#N/A</definedName>
    <definedName name="BExY0BNJZR1RF3C9CM0ZI4S4YU3J" hidden="1">#N/A</definedName>
    <definedName name="BExY2BL2ST5C37B4USIOINBLM7HB" hidden="1">#N/A</definedName>
    <definedName name="BExY3H3DNB5SGIZH4BTA86FNZW7D" hidden="1">#N/A</definedName>
    <definedName name="BExY3HU9V797SZ3LI1NO0VC5PLX9" hidden="1">#N/A</definedName>
    <definedName name="BExY3RFJMTNH3OSDCTEGN8E2Q0QP" hidden="1">#N/A</definedName>
    <definedName name="BExY48IKAXBZRRX5UDZW6FX3X275" hidden="1">#N/A</definedName>
    <definedName name="BExY4JAZ6XA4G1F2Y6XBL441Y58U" hidden="1">#N/A</definedName>
    <definedName name="BExY63SQPEZPFS27S2H8XUMBKVQD" hidden="1">#N/A</definedName>
    <definedName name="BExY6R6CW8DH6C1G71E6LPZX2TVH" hidden="1">#N/A</definedName>
    <definedName name="BExZKWI2JCQBDJGLDQXE4LUZYCTD" hidden="1">#N/A</definedName>
    <definedName name="BExZKZY1BQTNK3XYY2MCTEJ2D9SR" hidden="1">#N/A</definedName>
    <definedName name="BExZL0UFCYUOJT6IV1TQ437AGWTD" hidden="1">#N/A</definedName>
    <definedName name="BExZL7ACJPFYTZNRRVAOM7E8MKEK" hidden="1">#N/A</definedName>
    <definedName name="BExZMKW2NSLO6AR2ZCRLNB8U50QA" hidden="1">#N/A</definedName>
    <definedName name="BExZNH3XNE0FRNBF3JRCG6U6GCFS" hidden="1">#N/A</definedName>
    <definedName name="BExZNTUDGPWACZTUMDBWMF3OVO7N" hidden="1">#N/A</definedName>
    <definedName name="BExZP8CCTSOO80OCS636VQTO9RMB" hidden="1">#N/A</definedName>
    <definedName name="BExZPQBQAQN73DA92CR481JEJM0X" hidden="1">#REF!</definedName>
    <definedName name="BExZPTH3Z3HH2H2B1JMM3GVPEZK8" hidden="1">#N/A</definedName>
    <definedName name="BExZPUDAUIXKXN5WORW398W7PRYJ" hidden="1">#N/A</definedName>
    <definedName name="BExZSNTJ8OUIXOMJMSMPSBJ1X14K" hidden="1">#N/A</definedName>
    <definedName name="BExZSPM9GZNF78MDV4S6UWRY2K2Y" hidden="1">#N/A</definedName>
    <definedName name="BExZU6D2MCM1R1IB54Y7YEX1UPAG" hidden="1">#N/A</definedName>
    <definedName name="BExZUSE6WFVJX17CUQJU9QRG12W0" hidden="1">#N/A</definedName>
    <definedName name="BExZVRWK6GPAZ5WMXV0FHHYKBP5O" hidden="1">#N/A</definedName>
    <definedName name="BExZW0QW4L329MF1ZSCZ428YWTO0" hidden="1">#N/A</definedName>
    <definedName name="BExZWM6A2XXUECSNYWW9JHAHTMHI" hidden="1">#N/A</definedName>
    <definedName name="BExZWZ7PWSWJSQNVJGZCXN4NK2I4" hidden="1">#N/A</definedName>
    <definedName name="BExZXRJ9LKYH0ZPZ0F624RFYSJPG" hidden="1">#N/A</definedName>
    <definedName name="BExZYGUWO8IIB66X1RQI1HX8Q0G0" hidden="1">#N/A</definedName>
    <definedName name="BExZYL1Z9VZ95MT5ALC0F6125L69" hidden="1">#N/A</definedName>
    <definedName name="BExZZEA0DRL0SWZ70AUYI82OORFY" hidden="1">#N/A</definedName>
    <definedName name="BExZZZELZIT8ZAG1OBM99Y0MM6I4" hidden="1">#N/A</definedName>
    <definedName name="BLPH1" hidden="1">#REF!</definedName>
    <definedName name="BLPH10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hidden="1">#REF!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hidden="1">#REF!</definedName>
    <definedName name="BLPH120" hidden="1">#REF!</definedName>
    <definedName name="BLPH121" hidden="1">#REF!</definedName>
    <definedName name="BLPH122" hidden="1">#REF!</definedName>
    <definedName name="BLPH1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hidden="1">#REF!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hidden="1">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#REF!</definedName>
    <definedName name="BLPH150" hidden="1">#REF!</definedName>
    <definedName name="BLPH151" hidden="1">#REF!</definedName>
    <definedName name="BLPH152" hidden="1">#REF!</definedName>
    <definedName name="BLPH153" hidden="1">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59" hidden="1">#REF!</definedName>
    <definedName name="BLPH16" hidden="1">#REF!</definedName>
    <definedName name="BLPH160" hidden="1">#REF!</definedName>
    <definedName name="BLPH161" hidden="1">#REF!</definedName>
    <definedName name="BLPH162" hidden="1">#REF!</definedName>
    <definedName name="BLPH163" hidden="1">#REF!</definedName>
    <definedName name="BLPH164" hidden="1">#REF!</definedName>
    <definedName name="BLPH165" hidden="1">#REF!</definedName>
    <definedName name="BLPH166" hidden="1">#REF!</definedName>
    <definedName name="BLPH167" hidden="1">#REF!</definedName>
    <definedName name="BLPH168" hidden="1">#REF!</definedName>
    <definedName name="BLPH169" hidden="1">#REF!</definedName>
    <definedName name="BLPH17" hidden="1">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hidden="1">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" hidden="1">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hidden="1">#REF!</definedName>
    <definedName name="BLPH20" hidden="1">#REF!</definedName>
    <definedName name="BLPH200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05" hidden="1">#REF!</definedName>
    <definedName name="BLPH206" hidden="1">#REF!</definedName>
    <definedName name="BLPH207" hidden="1">#REF!</definedName>
    <definedName name="BLPH208" hidden="1">#REF!</definedName>
    <definedName name="BLPH209" hidden="1">#REF!</definedName>
    <definedName name="BLPH21" hidden="1">#REF!</definedName>
    <definedName name="BLPH210" hidden="1">#REF!</definedName>
    <definedName name="BLPH211" hidden="1">#REF!</definedName>
    <definedName name="BLPH212" hidden="1">#REF!</definedName>
    <definedName name="BLPH213" hidden="1">#REF!</definedName>
    <definedName name="BLPH214" hidden="1">#REF!</definedName>
    <definedName name="BLPH215" hidden="1">#REF!</definedName>
    <definedName name="BLPH216" hidden="1">#REF!</definedName>
    <definedName name="BLPH217" hidden="1">#REF!</definedName>
    <definedName name="BLPH218" hidden="1">#REF!</definedName>
    <definedName name="BLPH219" hidden="1">#REF!</definedName>
    <definedName name="BLPH22" hidden="1">#REF!</definedName>
    <definedName name="BLPH220" hidden="1">#REF!</definedName>
    <definedName name="BLPH221" hidden="1">#REF!</definedName>
    <definedName name="BLPH222" hidden="1">#REF!</definedName>
    <definedName name="BLPH223" hidden="1">#REF!</definedName>
    <definedName name="BLPH224" hidden="1">#REF!</definedName>
    <definedName name="BLPH225" hidden="1">#REF!</definedName>
    <definedName name="BLPH226" hidden="1">#REF!</definedName>
    <definedName name="BLPH227" hidden="1">#REF!</definedName>
    <definedName name="BLPH228" hidden="1">#REF!</definedName>
    <definedName name="BLPH229" hidden="1">#REF!</definedName>
    <definedName name="BLPH23" hidden="1">#REF!</definedName>
    <definedName name="BLPH230" hidden="1">#REF!</definedName>
    <definedName name="BLPH231" hidden="1">#REF!</definedName>
    <definedName name="BLPH232" hidden="1">#REF!</definedName>
    <definedName name="BLPH233" hidden="1">#REF!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39" hidden="1">#REF!</definedName>
    <definedName name="BLPH24" hidden="1">#REF!</definedName>
    <definedName name="BLPH240" hidden="1">#REF!</definedName>
    <definedName name="BLPH241" hidden="1">#REF!</definedName>
    <definedName name="BLPH242" hidden="1">#REF!</definedName>
    <definedName name="BLPH243" hidden="1">#REF!</definedName>
    <definedName name="BLPH244" hidden="1">#REF!</definedName>
    <definedName name="BLPH245" hidden="1">#REF!</definedName>
    <definedName name="BLPH246" hidden="1">#REF!</definedName>
    <definedName name="BLPH247" hidden="1">#REF!</definedName>
    <definedName name="BLPH248" hidden="1">#REF!</definedName>
    <definedName name="BLPH249" hidden="1">#REF!</definedName>
    <definedName name="BLPH25" hidden="1">#REF!</definedName>
    <definedName name="BLPH250" hidden="1">#REF!</definedName>
    <definedName name="BLPH251" hidden="1">#REF!</definedName>
    <definedName name="BLPH252" hidden="1">#REF!</definedName>
    <definedName name="BLPH253" hidden="1">#REF!</definedName>
    <definedName name="BLPH254" hidden="1">#REF!</definedName>
    <definedName name="BLPH255" hidden="1">#REF!</definedName>
    <definedName name="BLPH256" hidden="1">#REF!</definedName>
    <definedName name="BLPH257" hidden="1">#REF!</definedName>
    <definedName name="BLPH258" hidden="1">#REF!</definedName>
    <definedName name="BLPH259" hidden="1">#REF!</definedName>
    <definedName name="BLPH26" hidden="1">#REF!</definedName>
    <definedName name="BLPH260" hidden="1">#REF!</definedName>
    <definedName name="BLPH261" hidden="1">#REF!</definedName>
    <definedName name="BLPH262" hidden="1">#REF!</definedName>
    <definedName name="BLPH263" hidden="1">#REF!</definedName>
    <definedName name="BLPH264" hidden="1">#REF!</definedName>
    <definedName name="BLPH265" hidden="1">#REF!</definedName>
    <definedName name="BLPH266" hidden="1">#REF!</definedName>
    <definedName name="BLPH267" hidden="1">#REF!</definedName>
    <definedName name="BLPH268" hidden="1">#REF!</definedName>
    <definedName name="BLPH269" hidden="1">#REF!</definedName>
    <definedName name="BLPH27" hidden="1">#REF!</definedName>
    <definedName name="BLPH270" hidden="1">#REF!</definedName>
    <definedName name="BLPH271" hidden="1">#REF!</definedName>
    <definedName name="BLPH272" hidden="1">#REF!</definedName>
    <definedName name="BLPH273" hidden="1">#REF!</definedName>
    <definedName name="BLPH274" hidden="1">#REF!</definedName>
    <definedName name="BLPH275" hidden="1">#REF!</definedName>
    <definedName name="BLPH276" hidden="1">#REF!</definedName>
    <definedName name="BLPH277" hidden="1">#REF!</definedName>
    <definedName name="BLPH278" hidden="1">#REF!</definedName>
    <definedName name="BLPH279" hidden="1">#REF!</definedName>
    <definedName name="BLPH28" hidden="1">#REF!</definedName>
    <definedName name="BLPH280" hidden="1">#REF!</definedName>
    <definedName name="BLPH281" hidden="1">#REF!</definedName>
    <definedName name="BLPH282" hidden="1">#REF!</definedName>
    <definedName name="BLPH283" hidden="1">#REF!</definedName>
    <definedName name="BLPH284" hidden="1">#REF!</definedName>
    <definedName name="BLPH285" hidden="1">#REF!</definedName>
    <definedName name="BLPH286" hidden="1">#REF!</definedName>
    <definedName name="BLPH287" hidden="1">#REF!</definedName>
    <definedName name="BLPH288" hidden="1">#REF!</definedName>
    <definedName name="BLPH289" hidden="1">#REF!</definedName>
    <definedName name="BLPH29" hidden="1">#REF!</definedName>
    <definedName name="BLPH290" hidden="1">#REF!</definedName>
    <definedName name="BLPH291" hidden="1">#REF!</definedName>
    <definedName name="BLPH292" hidden="1">#REF!</definedName>
    <definedName name="BLPH293" hidden="1">#REF!</definedName>
    <definedName name="BLPH294" hidden="1">#REF!</definedName>
    <definedName name="BLPH295" hidden="1">#REF!</definedName>
    <definedName name="BLPH296" hidden="1">#REF!</definedName>
    <definedName name="BLPH297" hidden="1">#REF!</definedName>
    <definedName name="BLPH298" hidden="1">#REF!</definedName>
    <definedName name="BLPH299" hidden="1">#REF!</definedName>
    <definedName name="BLPH3" hidden="1">#REF!</definedName>
    <definedName name="BLPH30" hidden="1">#REF!</definedName>
    <definedName name="BLPH300" hidden="1">#REF!</definedName>
    <definedName name="BLPH301" hidden="1">#REF!</definedName>
    <definedName name="BLPH302" hidden="1">#REF!</definedName>
    <definedName name="BLPH303" hidden="1">#REF!</definedName>
    <definedName name="BLPH304" hidden="1">#REF!</definedName>
    <definedName name="BLPH305" hidden="1">#REF!</definedName>
    <definedName name="BLPH306" hidden="1">#REF!</definedName>
    <definedName name="BLPH307" hidden="1">#REF!</definedName>
    <definedName name="BLPH308" hidden="1">#REF!</definedName>
    <definedName name="BLPH309" hidden="1">#REF!</definedName>
    <definedName name="BLPH31" hidden="1">#REF!</definedName>
    <definedName name="BLPH310" hidden="1">#REF!</definedName>
    <definedName name="BLPH311" hidden="1">#REF!</definedName>
    <definedName name="BLPH312" hidden="1">#REF!</definedName>
    <definedName name="BLPH313" hidden="1">#REF!</definedName>
    <definedName name="BLPH314" hidden="1">#REF!</definedName>
    <definedName name="BLPH315" hidden="1">#REF!</definedName>
    <definedName name="BLPH316" hidden="1">#REF!</definedName>
    <definedName name="BLPH317" hidden="1">#REF!</definedName>
    <definedName name="BLPH318" hidden="1">#REF!</definedName>
    <definedName name="BLPH319" hidden="1">#REF!</definedName>
    <definedName name="BLPH32" hidden="1">#REF!</definedName>
    <definedName name="BLPH320" hidden="1">#REF!</definedName>
    <definedName name="BLPH321" hidden="1">#REF!</definedName>
    <definedName name="BLPH322" hidden="1">#REF!</definedName>
    <definedName name="BLPH323" hidden="1">#REF!</definedName>
    <definedName name="BLPH324" hidden="1">#REF!</definedName>
    <definedName name="BLPH325" hidden="1">#REF!</definedName>
    <definedName name="BLPH326" hidden="1">#REF!</definedName>
    <definedName name="BLPH327" hidden="1">#REF!</definedName>
    <definedName name="BLPH328" hidden="1">#REF!</definedName>
    <definedName name="BLPH329" hidden="1">#REF!</definedName>
    <definedName name="BLPH33" hidden="1">#REF!</definedName>
    <definedName name="BLPH330" hidden="1">#REF!</definedName>
    <definedName name="BLPH331" hidden="1">#REF!</definedName>
    <definedName name="BLPH332" hidden="1">#REF!</definedName>
    <definedName name="BLPH333" hidden="1">#REF!</definedName>
    <definedName name="BLPH334" hidden="1">#REF!</definedName>
    <definedName name="BLPH335" hidden="1">#REF!</definedName>
    <definedName name="BLPH336" hidden="1">#REF!</definedName>
    <definedName name="BLPH337" hidden="1">#REF!</definedName>
    <definedName name="BLPH338" hidden="1">#REF!</definedName>
    <definedName name="BLPH339" hidden="1">#REF!</definedName>
    <definedName name="BLPH34" hidden="1">#REF!</definedName>
    <definedName name="BLPH340" hidden="1">#REF!</definedName>
    <definedName name="BLPH341" hidden="1">#REF!</definedName>
    <definedName name="BLPH342" hidden="1">#REF!</definedName>
    <definedName name="BLPH343" hidden="1">#REF!</definedName>
    <definedName name="BLPH344" hidden="1">#REF!</definedName>
    <definedName name="BLPH345" hidden="1">#REF!</definedName>
    <definedName name="BLPH346" hidden="1">#REF!</definedName>
    <definedName name="BLPH347" hidden="1">#REF!</definedName>
    <definedName name="BLPH348" hidden="1">#REF!</definedName>
    <definedName name="BLPH349" hidden="1">#REF!</definedName>
    <definedName name="BLPH35" hidden="1">#REF!</definedName>
    <definedName name="BLPH350" hidden="1">#REF!</definedName>
    <definedName name="BLPH351" hidden="1">#REF!</definedName>
    <definedName name="BLPH352" hidden="1">#REF!</definedName>
    <definedName name="BLPH353" hidden="1">#REF!</definedName>
    <definedName name="BLPH354" hidden="1">#REF!</definedName>
    <definedName name="BLPH355" hidden="1">#REF!</definedName>
    <definedName name="BLPH356" hidden="1">#REF!</definedName>
    <definedName name="BLPH357" hidden="1">#REF!</definedName>
    <definedName name="BLPH358" hidden="1">#REF!</definedName>
    <definedName name="BLPH359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CIQWBGuid" hidden="1">"7d674bf4-5341-4327-b5e8-090510039e91"</definedName>
    <definedName name="ConsentsList" hidden="1">#REF!</definedName>
    <definedName name="coun" hidden="1">{#N/A,#N/A,FALSE,"Assessment";#N/A,#N/A,FALSE,"Staffing";#N/A,#N/A,FALSE,"Hires";#N/A,#N/A,FALSE,"Assumptions"}</definedName>
    <definedName name="coun_new" hidden="1">{#N/A,#N/A,FALSE,"Assessment";#N/A,#N/A,FALSE,"Staffing";#N/A,#N/A,FALSE,"Hires";#N/A,#N/A,FALSE,"Assumptions"}</definedName>
    <definedName name="coun_new1" hidden="1">{#N/A,#N/A,FALSE,"Assessment";#N/A,#N/A,FALSE,"Staffing";#N/A,#N/A,FALSE,"Hires";#N/A,#N/A,FALSE,"Assumptions"}</definedName>
    <definedName name="coun1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2_new" hidden="1">{#N/A,#N/A,FALSE,"Assessment";#N/A,#N/A,FALSE,"Staffing";#N/A,#N/A,FALSE,"Hires";#N/A,#N/A,FALSE,"Assumptions"}</definedName>
    <definedName name="count2_new1" hidden="1">{#N/A,#N/A,FALSE,"Assessment";#N/A,#N/A,FALSE,"Staffing";#N/A,#N/A,FALSE,"Hires";#N/A,#N/A,FALSE,"Assumptions"}</definedName>
    <definedName name="COUNT2a" hidden="1">{#N/A,#N/A,FALSE,"Assessment";#N/A,#N/A,FALSE,"Staffing";#N/A,#N/A,FALSE,"Hires";#N/A,#N/A,FALSE,"Assumptions"}</definedName>
    <definedName name="COUNTRY" hidden="1">{#N/A,#N/A,FALSE,"Assessment";#N/A,#N/A,FALSE,"Staffing";#N/A,#N/A,FALSE,"Hires";#N/A,#N/A,FALSE,"Assumptions"}</definedName>
    <definedName name="Country_new" hidden="1">{#N/A,#N/A,FALSE,"Assessment";#N/A,#N/A,FALSE,"Staffing";#N/A,#N/A,FALSE,"Hires";#N/A,#N/A,FALSE,"Assumptions"}</definedName>
    <definedName name="Country_new1" hidden="1">{#N/A,#N/A,FALSE,"Assessment";#N/A,#N/A,FALSE,"Staffing";#N/A,#N/A,FALSE,"Hires";#N/A,#N/A,FALSE,"Assumptions"}</definedName>
    <definedName name="COUNTRY1" hidden="1">{#N/A,#N/A,FALSE,"Assessment";#N/A,#N/A,FALSE,"Staffing";#N/A,#N/A,FALSE,"Hires";#N/A,#N/A,FALSE,"Assumptions"}</definedName>
    <definedName name="Creator">#REF!</definedName>
    <definedName name="CUR">#REF!</definedName>
    <definedName name="cv">#REF!</definedName>
    <definedName name="Cwvu.CapersView." hidden="1">#N/A</definedName>
    <definedName name="Cwvu.Japan_Capers_Ed_Pub." hidden="1">#N/A</definedName>
    <definedName name="Cwvu.KJP_CC." hidden="1">#N/A</definedName>
    <definedName name="D">#REF!</definedName>
    <definedName name="Delete4" hidden="1">{#VALUE!,#N/A,FALSE,0}</definedName>
    <definedName name="df">#REF!</definedName>
    <definedName name="DF_GRID_1">#REF!</definedName>
    <definedName name="DF_NAVPANEL_13">#REF!</definedName>
    <definedName name="DF_NAVPANEL_18">#REF!</definedName>
    <definedName name="dfd" hidden="1">{#N/A,#N/A,FALSE,"Assessment";#N/A,#N/A,FALSE,"Staffing";#N/A,#N/A,FALSE,"Hires";#N/A,#N/A,FALSE,"Assumptions"}</definedName>
    <definedName name="Display_Week">#REF!</definedName>
    <definedName name="Doc">#REF!</definedName>
    <definedName name="DP">#REF!</definedName>
    <definedName name="dten" hidden="1">#REF!</definedName>
    <definedName name="eere" hidden="1">{#N/A,#N/A,FALSE,"PRJCTED QTRLY $'s"}</definedName>
    <definedName name="eew" hidden="1">{#VALUE!,#N/A,FALSE,0}</definedName>
    <definedName name="ef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EntityComboCacheDate" hidden="1">39099</definedName>
    <definedName name="EntityComboCacheTestDate" hidden="1">39099</definedName>
    <definedName name="Env" hidden="1">#REF!</definedName>
    <definedName name="EPMWorkbookOptions_1" hidden="1">"SAEAAB|LCAAAAAAABADtvQdgHEmWJSYvbcp7f0r1StfgdKEIgGATJNiQQBDswYjN5pLsHWlHIymrKoHKZVZlXWYWQMztnbz33nvvvffee||997o7nU4n99//P1xmZAFs9s5K2smeIYCqyB8/fnwfPyIe/x7vFmV6mddNUS0/|2h3vPNRmi|n1axYXnz20bo939799KPf4|g3Th5/t6rfTqrq7Zerlpo2Kb23bB69a4rPPpq37erR3btXV1fjq3v"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"jqr64u7ezs3v39/7i|evpPF9k28WyabPlNP/IvjW7|a2PqNc0ffwqP6/zZv7l8stVvjw6z8omf3w3/JDbnZR5Vj/N2uzL5evsMjctux9zWzOWl3XV5tM2n5nW/S/C9lez9C6IYRsqNY7|H0p|MExIAQAA"</definedName>
    <definedName name="EPMWorkbookOptions_3" hidden="1">"yj5q0xNTBCKN7HSoCjAJMOAkI|R9H07uBX3y5ms3z5tFjky4bRHW7qUG2CNtTq9by6sjBOqrKqj9p6nT||G/li06s8isibvdHpi0SENn/XPssuq7poCS|eD3m5990t3n9W1E3rIRD/vgPIYjlMoNu28tt9tSx|0TrnkR|fnHz51Ys3j|/GvtwEQyhOgn5/Z/fewa4HIDYX/O6X9Syvj3Ye35VfotCbVZldv6yrVV6310e79z|9f55Pzrfvfzrb3"</definedName>
    <definedName name="EPMWorkbookOptions_4" hidden="1">"97fO3|4fXA/z7d3snxvfzZ5sP9gcg89h29FAD/PmvZ1XpLM57Mv8sWEVFekWciU0QbURN73yPQ9JeL3x997efzq9MWbb|/Srwck5yS|vdYDUL9d5HVWT|fXrmlKevLRsig/|whs81FHfrx3I3N3u3cf371pvN8gQfb3d3eePzn|EU18mjzY3fny1dMf0URpske/3vv0R4LT0SR7D/6/TpDHd2|jgj0r8rNn8b56evbm7OnXt3g7O/uk2m9v8Hb/"</definedName>
    <definedName name="EPMWorkbookOptions_5" hidden="1">"f2jwhIYhm7758s3vf/bs1ev/r7PqN0qU46ffebj7I4r4FHn|/Pc/e/Hyqze//484pUsX88WP6BLhl/|vU|X/PSbw5PjN6edfvvp9vrYNvHfv/v39/f3b28C9///ZQEPEDreevPnq|Pnv/8Xxq5Nv7|3s7v1/nWl/VqhDhNn//Xd2fkScDcT5ees0DBDn|fP/rxPk/0X6/6tXRNiTr6//P6W0xcHBg9vr/3vvof|z/OHk4cP9h9uzyeTe9v793YP"</definedName>
    <definedName name="EPMWorkbookOptions_6" hidden="1">"tyfmDbDv7dHZv8vDe/b2989n/G/S/EpGYk/73/OT/6|z5zdDh8ycvf0QIEOL0q1f/XyfE/3sUFlmBszdfX11RyubTT|/de4|czf576Kv/j/irQsMw1Xr6|//eX74|ffWTp/9fZ9Vviii7TJQnr45/6vmbpz9vlyqGqfLm1ZOf/P7jH1HFUeXF56/fHP9/PjfxTdPkq9fHJ1||eP3l8//Px3j/7zGCz55/|d2vbwLfe53|/v//TCAoGPLqy|cPH/"</definedName>
    <definedName name="EPMWorkbookOptions_7" hidden="1">"5/nUO/OWqcvvh5m3ruE|PZ//c54/89uuvsxZvTVydf/hDV16f//1NfSsTY8oh88SN29ZrdqtUAu7589eWzszcnRONXpz9Enn3w/z|e9SnZZ1x8|/vLlz9vF4OHKfRg9|HB/9ep8v8emX598uXLH6YwH/z/T5iZhCGPfv77v/jyxc/b9FGcIJ|/Ov15mwSPUOR07//z/PH/Hi325uyLH6YSe/geSuz/I|t2oGDIoF8cvxrTqvu9H3Gp3|xWrQa49"</definedName>
    <definedName name="EPMWorkbookOptions_8" hidden="1">"IvT49dfkU/3Q|TU3Z33YNX/j9hbQ0ZZUfx93vx/PjvzDXLoLRoF2MQbPb57vFqVxTRrCY79PPjUNCdo1XJJiNNnT7M244/9D99U3cE/fpWf13kz/3L55SpfHp1nZZM/vht|yO1OyjyrAfTL5evsMjctux9z2|9W9dtJVb0ltmyZjKZ1/4uw/dWMZ801/HIl4/t/AIQo|E3POQAA"</definedName>
    <definedName name="EPMWorkbookOptions_9" hidden="1">"8ENud1LmWQ2gXy5fZ5e5adn9mNt|t6rfTqrqLclsy2Q0rftfhO2vZjxrruGXKxnf/wOob4quUkMAAA=="</definedName>
    <definedName name="ert" hidden="1">{#VALUE!,#N/A,FALSE,0}</definedName>
    <definedName name="erw" hidden="1">{#VALUE!,#N/A,FALSE,0}</definedName>
    <definedName name="erwe" hidden="1">{#N/A,#N/A,FALSE,"PRJCTED QTRLY QTY's"}</definedName>
    <definedName name="etr" hidden="1">{#N/A,#N/A,FALSE,"DI 2 YEAR MASTER SCHEDULE"}</definedName>
    <definedName name="f" hidden="1">{"'PRODUCTIONCOST SHEET'!$B$3:$G$48"}</definedName>
    <definedName name="ff" hidden="1">{#N/A,#N/A,FALSE,"PRJCTED MNTHLY QTY's"}</definedName>
    <definedName name="fffff" hidden="1">{#N/A,#N/A,FALSE,"PRJCTED QTRLY QTY's"}</definedName>
    <definedName name="FinancialYear">#REF!</definedName>
    <definedName name="FLAG">#REF!</definedName>
    <definedName name="Geolocation" hidden="1">#REF!</definedName>
    <definedName name="gg" hidden="1">{#N/A,#N/A,FALSE,"Assessment";#N/A,#N/A,FALSE,"Staffing";#N/A,#N/A,FALSE,"Hires";#N/A,#N/A,FALSE,"Assumptions"}</definedName>
    <definedName name="gjk" hidden="1">{#N/A,#N/A,FALSE,"DI 2 YEAR MASTER SCHEDULE"}</definedName>
    <definedName name="gwge" hidden="1">#REF!</definedName>
    <definedName name="hh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hom" hidden="1">{#N/A,#N/A,FALSE,"Assessment";#N/A,#N/A,FALSE,"Staffing";#N/A,#N/A,FALSE,"Hires";#N/A,#N/A,FALSE,"Assumptions"}</definedName>
    <definedName name="home_new" hidden="1">{#N/A,#N/A,FALSE,"Assessment";#N/A,#N/A,FALSE,"Staffing";#N/A,#N/A,FALSE,"Hires";#N/A,#N/A,FALSE,"Assumptions"}</definedName>
    <definedName name="home_new1" hidden="1">{#N/A,#N/A,FALSE,"Assessment";#N/A,#N/A,FALSE,"Staffing";#N/A,#N/A,FALSE,"Hires";#N/A,#N/A,FALSE,"Assumptions"}</definedName>
    <definedName name="HOME1" hidden="1">{#N/A,#N/A,FALSE,"Assessment";#N/A,#N/A,FALSE,"Staffing";#N/A,#N/A,FALSE,"Hires";#N/A,#N/A,FALSE,"Assumptions"}</definedName>
    <definedName name="HOMFE" hidden="1">{#N/A,#N/A,FALSE,"Assessment";#N/A,#N/A,FALSE,"Staffing";#N/A,#N/A,FALSE,"Hires";#N/A,#N/A,FALSE,"Assumptions"}</definedName>
    <definedName name="homfe_new" hidden="1">{#N/A,#N/A,FALSE,"Assessment";#N/A,#N/A,FALSE,"Staffing";#N/A,#N/A,FALSE,"Hires";#N/A,#N/A,FALSE,"Assumptions"}</definedName>
    <definedName name="homfe_new1" hidden="1">{#N/A,#N/A,FALSE,"Assessment";#N/A,#N/A,FALSE,"Staffing";#N/A,#N/A,FALSE,"Hires";#N/A,#N/A,FALSE,"Assumptions"}</definedName>
    <definedName name="HOMFE1" hidden="1">{#N/A,#N/A,FALSE,"Assessment";#N/A,#N/A,FALSE,"Staffing";#N/A,#N/A,FALSE,"Hires";#N/A,#N/A,FALSE,"Assumptions"}</definedName>
    <definedName name="homfee" hidden="1">{#N/A,#N/A,FALSE,"Assessment";#N/A,#N/A,FALSE,"Staffing";#N/A,#N/A,FALSE,"Hires";#N/A,#N/A,FALSE,"Assumptions"}</definedName>
    <definedName name="homfee1" hidden="1">{#N/A,#N/A,FALSE,"Assessment";#N/A,#N/A,FALSE,"Staffing";#N/A,#N/A,FALSE,"Hires";#N/A,#N/A,FALSE,"Assumptions"}</definedName>
    <definedName name="HTML_CodePage" hidden="1">1252</definedName>
    <definedName name="HTML_Control" hidden="1">{"'PRODUCTIONCOST SHEET'!$B$3:$G$48"}</definedName>
    <definedName name="HTML_Description" hidden="1">"DRAFT"</definedName>
    <definedName name="HTML_Email" hidden="1">"Patrick_Blattner@Studio.Disney.com"</definedName>
    <definedName name="HTML_Header" hidden="1">"EXISTING &amp; FUTURE PRODUCTS (CONFIDENTIAL)"</definedName>
    <definedName name="HTML_LastUpdate" hidden="1">"2/8/98"</definedName>
    <definedName name="HTML_LineAfter" hidden="1">FALSE</definedName>
    <definedName name="HTML_LineBefore" hidden="1">TRUE</definedName>
    <definedName name="HTML_Name" hidden="1">"Patrick Blattner"</definedName>
    <definedName name="HTML_OBDlg2" hidden="1">TRUE</definedName>
    <definedName name="HTML_OBDlg4" hidden="1">TRUE</definedName>
    <definedName name="HTML_OS" hidden="1">0</definedName>
    <definedName name="HTML_PathFile" hidden="1">"K:\ANIMATE\SECURE\Production\INTRANET\ANI.HTML.htm"</definedName>
    <definedName name="HTML_Title" hidden="1">"2D ANIMATION PRODUCTION TABLE"</definedName>
    <definedName name="investment" hidden="1">{#N/A,#N/A,FALSE,"PRJCTED MNTHLY QTY's"}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XCL_SBC" hidden="1">"c3081"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PAYOUT_RATIO" hidden="1">"c3492"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40164.5046875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39336.6405324074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yjg" hidden="1">{#VALUE!,#N/A,FALSE,0}</definedName>
    <definedName name="k" hidden="1">{#N/A,#N/A,FALSE,"Assessment";#N/A,#N/A,FALSE,"Staffing";#N/A,#N/A,FALSE,"Hires";#N/A,#N/A,FALSE,"Assumptions"}</definedName>
    <definedName name="kk" hidden="1">{#N/A,#N/A,FALSE,"Assessment";#N/A,#N/A,FALSE,"Staffing";#N/A,#N/A,FALSE,"Hires";#N/A,#N/A,FALSE,"Assumptions"}</definedName>
    <definedName name="KKK" hidden="1">{#N/A,#N/A,FALSE,"Assessment";#N/A,#N/A,FALSE,"Staffing";#N/A,#N/A,FALSE,"Hires";#N/A,#N/A,FALSE,"Assumptions"}</definedName>
    <definedName name="KKK_new" hidden="1">{#N/A,#N/A,FALSE,"Assessment";#N/A,#N/A,FALSE,"Staffing";#N/A,#N/A,FALSE,"Hires";#N/A,#N/A,FALSE,"Assumptions"}</definedName>
    <definedName name="KKK_new1" hidden="1">{#N/A,#N/A,FALSE,"Assessment";#N/A,#N/A,FALSE,"Staffing";#N/A,#N/A,FALSE,"Hires";#N/A,#N/A,FALSE,"Assumptions"}</definedName>
    <definedName name="kkkk" hidden="1">{#N/A,#N/A,FALSE,"Assessment";#N/A,#N/A,FALSE,"Staffing";#N/A,#N/A,FALSE,"Hires";#N/A,#N/A,FALSE,"Assumptions"}</definedName>
    <definedName name="kkkk1" hidden="1">{#N/A,#N/A,FALSE,"Assessment";#N/A,#N/A,FALSE,"Staffing";#N/A,#N/A,FALSE,"Hires";#N/A,#N/A,FALSE,"Assumptions"}</definedName>
    <definedName name="kkkkk" hidden="1">{#N/A,#N/A,FALSE,"Assessment";#N/A,#N/A,FALSE,"Staffing";#N/A,#N/A,FALSE,"Hires";#N/A,#N/A,FALSE,"Assumptions"}</definedName>
    <definedName name="kkkkk1" hidden="1">{#N/A,#N/A,FALSE,"Assessment";#N/A,#N/A,FALSE,"Staffing";#N/A,#N/A,FALSE,"Hires";#N/A,#N/A,FALSE,"Assumptions"}</definedName>
    <definedName name="kkkkkk" hidden="1">{#N/A,#N/A,FALSE,"Assessment";#N/A,#N/A,FALSE,"Staffing";#N/A,#N/A,FALSE,"Hires";#N/A,#N/A,FALSE,"Assumptions"}</definedName>
    <definedName name="kkkkkk1" hidden="1">{#N/A,#N/A,FALSE,"Assessment";#N/A,#N/A,FALSE,"Staffing";#N/A,#N/A,FALSE,"Hires";#N/A,#N/A,FALSE,"Assumptions"}</definedName>
    <definedName name="kkkkkkk" hidden="1">{#N/A,#N/A,FALSE,"Assessment";#N/A,#N/A,FALSE,"Staffing";#N/A,#N/A,FALSE,"Hires";#N/A,#N/A,FALSE,"Assumptions"}</definedName>
    <definedName name="l" hidden="1">{#N/A,#N/A,FALSE,"DI 2 YEAR MASTER SCHEDULE"}</definedName>
    <definedName name="Label_Main3">OFFSET(#REF!,0,0,#REF!,1),#REF!,OFFSET(#REF!,0,0,#REF!,1),#REF!,OFFSET(#REF!,0,0,#REF!,1),#REF!</definedName>
    <definedName name="Label_Nv3">OFFSET(#REF!,0,0,#REF!,1),#REF!,OFFSET(#REF!,0,0,#REF!,1),#REF!,OFFSET(#REF!,0,0,#REF!,1),#REF!</definedName>
    <definedName name="LastMonth">#REF!</definedName>
    <definedName name="ListOffset" hidden="1">1</definedName>
    <definedName name="lkl" hidden="1">{#N/A,#N/A,FALSE,"DI 2 YEAR MASTER SCHEDULE"}</definedName>
    <definedName name="MasterFormula">#REF!</definedName>
    <definedName name="mm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mmm" hidden="1">{#N/A,#N/A,FALSE,"Assessment";#N/A,#N/A,FALSE,"Staffing";#N/A,#N/A,FALSE,"Hires";#N/A,#N/A,FALSE,"Assumptions"}</definedName>
    <definedName name="mmmm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n" hidden="1">{#VALUE!,#N/A,FALSE,0}</definedName>
    <definedName name="Names3">OFFSET(#REF!,0,0,#REF!,1),#REF!,OFFSET(#REF!,0,0,#REF!,1),#REF!,OFFSET(#REF!,0,0,#REF!,1),#REF!</definedName>
    <definedName name="Names4">#REF!,#REF!,#REF!,#REF!</definedName>
    <definedName name="namik" hidden="1">{"'Worksheet'!$A$3:$R$184"}</definedName>
    <definedName name="new_name" hidden="1">{"Collection report",#N/A,FALSE,"March"}</definedName>
    <definedName name="New_Reports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nn" hidden="1">{#N/A,#N/A,FALSE,"PRJCTED QTRLY $'s"}</definedName>
    <definedName name="old_name" hidden="1">{"Collection report",#N/A,FALSE,"March"}</definedName>
    <definedName name="oppppp" hidden="1">{"NT&amp;T TSM",#N/A,FALSE,"Current_Data";"NT&amp;T TRA",#N/A,FALSE,"Current_Data";"NT&amp;T SOP",#N/A,FALSE,"Current_Data";"NT&amp;T REG",#N/A,FALSE,"Current_Data";"NT&amp;T FIN",#N/A,FALSE,"Current_Data";"NT&amp;T Dir",#N/A,FALSE,"Current_Data";"NT&amp;T Asset Strategy",#N/A,FALSE,"Current_Data";"NT&amp;T Asset",#N/A,FALSE,"Current_Data"}</definedName>
    <definedName name="P_Select">#REF!</definedName>
    <definedName name="Page1formula">#REF!</definedName>
    <definedName name="Page2formula">#REF!</definedName>
    <definedName name="Page3formula">#REF!</definedName>
    <definedName name="Pal_Workbook_GUID" hidden="1">"X3JYIFY136RFV4IHMVYEJJY9"</definedName>
    <definedName name="PROJECT">#REF!</definedName>
    <definedName name="Project_Start">#REF!</definedName>
    <definedName name="qs" hidden="1">{#N/A,#N/A,FALSE,"PRJCTED MNTHLY QTY's"}</definedName>
    <definedName name="ree" hidden="1">{"'PRODUCTIONCOST SHEET'!$B$3:$G$48"}</definedName>
    <definedName name="Region">#REF!</definedName>
    <definedName name="resources" hidden="1">{#N/A,#N/A,FALSE,"Assessment";#N/A,#N/A,FALSE,"Staffing";#N/A,#N/A,FALSE,"Hires";#N/A,#N/A,FALSE,"Assumptions"}</definedName>
    <definedName name="resources_new" hidden="1">{#N/A,#N/A,FALSE,"Assessment";#N/A,#N/A,FALSE,"Staffing";#N/A,#N/A,FALSE,"Hires";#N/A,#N/A,FALSE,"Assumptions"}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ngStatus" hidden="1">#REF!      : INDEX(#REF!,COUNTA(#REF!),1)</definedName>
    <definedName name="rr" hidden="1">{"'PRODUCTIONCOST SHEET'!$B$3:$G$48"}</definedName>
    <definedName name="rrr" hidden="1">{#VALUE!,#N/A,FALSE,0}</definedName>
    <definedName name="rt" hidden="1">{#N/A,#N/A,FALSE,"PRJCTED QTRLY $'s"}</definedName>
    <definedName name="Rwvu.CapersView." hidden="1">#REF!</definedName>
    <definedName name="Rwvu.Japan_Capers_Ed_Pub." hidden="1">#REF!</definedName>
    <definedName name="Rwvu.KJP_CC." hidden="1">#REF!</definedName>
    <definedName name="sadfs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sanctioned">#REF!:#REF!</definedName>
    <definedName name="SAPBEXhrIndnt" hidden="1">"Wide"</definedName>
    <definedName name="SAPBEXrevision" hidden="1">1</definedName>
    <definedName name="SAPBEXsysID" hidden="1">"BWP"</definedName>
    <definedName name="SAPBEXwbID" hidden="1">"3M0Y5JZ0K259IJHR15SO2N9QE"</definedName>
    <definedName name="SAPsysID" hidden="1">"708C5W7SBKP804JT78WJ0JNKI"</definedName>
    <definedName name="SAPwbID" hidden="1">"ARS"</definedName>
    <definedName name="sdf" hidden="1">{"'PRODUCTIONCOST SHEET'!$B$3:$G$48"}</definedName>
    <definedName name="Slicer_DeliveryTheme">#N/A</definedName>
    <definedName name="Slicer_FundingPositionT3Proposed">#N/A</definedName>
    <definedName name="Slicer_In_Copperleaf?">#N/A</definedName>
    <definedName name="Slicer_PCD">#N/A</definedName>
    <definedName name="solver_lin" hidden="1">0</definedName>
    <definedName name="solver_num" hidden="1">0</definedName>
    <definedName name="solver_opt" hidden="1">#N/A</definedName>
    <definedName name="solver_typ" hidden="1">1</definedName>
    <definedName name="solver_val" hidden="1">0</definedName>
    <definedName name="staffing_new" hidden="1">{#N/A,#N/A,FALSE,"Overall Staffing Review";#N/A,#N/A,FALSE,"Detailed Resource Mix Review";#N/A,#N/A,FALSE,"Detailed Pyramid Review";#N/A,#N/A,FALSE,"Hours By Activity";#N/A,#N/A,FALSE,"Hours By Custom Resource"}</definedName>
    <definedName name="staffing1new" hidden="1">{#N/A,#N/A,FALSE,"Assessment";#N/A,#N/A,FALSE,"Staffing";#N/A,#N/A,FALSE,"Hires";#N/A,#N/A,FALSE,"Assumptions"}</definedName>
    <definedName name="staffing2" hidden="1">{#N/A,#N/A,FALSE,"Assessment";#N/A,#N/A,FALSE,"Staffing";#N/A,#N/A,FALSE,"Hires";#N/A,#N/A,FALSE,"Assumptions"}</definedName>
    <definedName name="staffing2_new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ffing3_new" hidden="1">{#N/A,#N/A,FALSE,"Assessment";#N/A,#N/A,FALSE,"Staffing";#N/A,#N/A,FALSE,"Hires";#N/A,#N/A,FALSE,"Assumptions"}</definedName>
    <definedName name="StartMonth">#REF!</definedName>
    <definedName name="Submitted">#REF!</definedName>
    <definedName name="supplemental_new" hidden="1">{#N/A,#N/A,FALSE,"Assumptions";#N/A,#N/A,FALSE,"DNP Expense Summary";#N/A,#N/A,FALSE,"Sensitivity Analysis"}</definedName>
    <definedName name="Swvu.CapersView." hidden="1">#N/A</definedName>
    <definedName name="Swvu.Japan_Capers_Ed_Pub." hidden="1">#REF!</definedName>
    <definedName name="Swvu.KJP_CC." hidden="1">#REF!</definedName>
    <definedName name="TableName">"Dummy"</definedName>
    <definedName name="Temp_2" hidden="1">{#N/A,#N/A,FALSE,"Assessment";#N/A,#N/A,FALSE,"Staffing";#N/A,#N/A,FALSE,"Hires";#N/A,#N/A,FALSE,"Assumptions"}</definedName>
    <definedName name="Temp_2_new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_3_new" hidden="1">{#N/A,#N/A,FALSE,"Assessment";#N/A,#N/A,FALSE,"Staffing";#N/A,#N/A,FALSE,"Hires";#N/A,#N/A,FALSE,"Assumptions"}</definedName>
    <definedName name="temp_4" hidden="1">{#N/A,#N/A,FALSE,"Assessment";#N/A,#N/A,FALSE,"Staffing";#N/A,#N/A,FALSE,"Hires";#N/A,#N/A,FALSE,"Assumptions"}</definedName>
    <definedName name="temp_4_new" hidden="1">{#N/A,#N/A,FALSE,"Assessment";#N/A,#N/A,FALSE,"Staffing";#N/A,#N/A,FALSE,"Hires";#N/A,#N/A,FALSE,"Assumptions"}</definedName>
    <definedName name="temporary" hidden="1">#REF!</definedName>
    <definedName name="temporary2" hidden="1">#REF!</definedName>
    <definedName name="TextRefCopyRangeCount" hidden="1">1</definedName>
    <definedName name="TopRankDefaultDistForRange" hidden="1">0</definedName>
    <definedName name="TopRankDefaultMaxChange" hidden="1">0.1</definedName>
    <definedName name="TopRankDefaultMinChange" hidden="1">-0.1</definedName>
    <definedName name="TopRankDefaultMultiGroupSize" hidden="1">2</definedName>
    <definedName name="TopRankDefaultMultiStepsPerInput" hidden="1">2</definedName>
    <definedName name="TopRankDefaultRangeType" hidden="1">0</definedName>
    <definedName name="TopRankDefaultStepsPerInput" hidden="1">5</definedName>
    <definedName name="TopRankDetailByInputReport" hidden="1">FALSE</definedName>
    <definedName name="TopRankMaxInputsPerGraph" hidden="1">10</definedName>
    <definedName name="TopRankMultiWayReport" hidden="1">FALSE</definedName>
    <definedName name="TopRankNumberOfRuns" hidden="1">1</definedName>
    <definedName name="TopRankOnlyInputsOverThreshold" hidden="1">TRUE</definedName>
    <definedName name="TopRankOnlyTopRanking" hidden="1">TRUE</definedName>
    <definedName name="TopRankOutputDetailReport" hidden="1">FALSE</definedName>
    <definedName name="TopRankOutputsAsPercentChange" hidden="1">FALSE</definedName>
    <definedName name="TopRankOverwriteExisting" hidden="1">FALSE</definedName>
    <definedName name="TopRankPauseOnError" hidden="1">FALSE</definedName>
    <definedName name="TopRankPerformPrecedentScanAddOutput" hidden="1">FALSE</definedName>
    <definedName name="TopRankPerformPrecedentScanAtStart" hidden="1">TRUE</definedName>
    <definedName name="TopRankPrecedentScanType" hidden="1">1</definedName>
    <definedName name="TopRankReportAllOutputCells" hidden="1">TRUE</definedName>
    <definedName name="TopRankReportsInExistingWorkbook" hidden="1">FALSE</definedName>
    <definedName name="TopRankReportsInExistingWorkbookName" hidden="1">"Active Workbook"</definedName>
    <definedName name="TopRankReportsInNewWorkbook" hidden="1">TRUE</definedName>
    <definedName name="TopRankSensitivityGraphs" hidden="1">FALSE</definedName>
    <definedName name="TopRankSingleWorkbookAllResults" hidden="1">FALSE</definedName>
    <definedName name="TopRankSpiderGraphs" hidden="1">TRUE</definedName>
    <definedName name="TopRankTornadoGraphs" hidden="1">TRUE</definedName>
    <definedName name="TopRankUpdateDisplay" hidden="1">FALSE</definedName>
    <definedName name="ty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tyt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tyuru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u" hidden="1">{#VALUE!,#N/A,FALSE,0}</definedName>
    <definedName name="UAG" hidden="1">{#N/A,#N/A,FALSE,"DI 2 YEAR MASTER SCHEDULE"}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">{"Japan_Capers_Ed_Pub",#N/A,FALSE,"DI 2 YEAR MASTER SCHEDULE"}</definedName>
    <definedName name="Val_Main3">OFFSET(#REF!,0,0,#REF!,1),#REF!,OFFSET(#REF!,0,0,#REF!,1),#REF!,OFFSET(#REF!,0,0,#REF!,1),#REF!</definedName>
    <definedName name="Val_Main4">OFFSET(#REF!,0,0,#REF!,1),#REF!,OFFSET(#REF!,0,0,#REF!,1),#REF!,OFFSET(#REF!,0,0,#REF!,1),#REF!</definedName>
    <definedName name="Val_Nv3">OFFSET(#REF!,0,0,#REF!,1),#REF!,OFFSET(#REF!,0,0,#REF!,1),#REF!,OFFSET(#REF!,0,0,#REF!,1),#REF!</definedName>
    <definedName name="Val_Nv4">OFFSET(#REF!,0,0,#REF!,1),#REF!,OFFSET(#REF!,0,0,#REF!,1),#REF!,OFFSET(#REF!,0,0,#REF!,1),#REF!</definedName>
    <definedName name="Val_Pv3">OFFSET(#REF!,0,0,#REF!,1),#REF!,OFFSET(#REF!,0,0,#REF!,1),#REF!,OFFSET(#REF!,0,0,#REF!,1),#REF!</definedName>
    <definedName name="Val_Pv4">OFFSET(#REF!,0,0,#REF!,1),#REF!,OFFSET(#REF!,0,0,#REF!,1),#REF!,OFFSET(#REF!,0,0,#REF!,1),#REF!</definedName>
    <definedName name="Val_Transparent3">OFFSET(#REF!,0,0,#REF!,1),#REF!,OFFSET(#REF!,0,0,#REF!,1),#REF!,OFFSET(#REF!,0,0,#REF!,1),#REF!</definedName>
    <definedName name="Val_Transparent4">OFFSET(#REF!,0,0,#REF!,1),#REF!,OFFSET(#REF!,0,0,#REF!,1),#REF!,OFFSET(#REF!,0,0,#REF!,1),#REF!</definedName>
    <definedName name="VALUE">#REF!</definedName>
    <definedName name="Vimbai_Chengeta">#REF!</definedName>
    <definedName name="wamr_new" hidden="1">{#N/A,#N/A,FALSE,"Header";#N/A,#N/A,FALSE,"Assumptions";#N/A,#N/A,FALSE,"Summary";#N/A,#N/A,FALSE,"Client Cost Baseline";#N/A,#N/A,FALSE,"Service Delivery ";#N/A,#N/A,FALSE,"Service Management";#N/A,#N/A,FALSE,"Transition";#N/A,#N/A,FALSE,"Business Integration";#N/A,#N/A,FALSE,"Operating Costs";#N/A,#N/A,FALSE,"Capex";#N/A,#N/A,FALSE,"Accommodation";#N/A,#N/A,FALSE,"Telecommunications";#N/A,#N/A,FALSE,"LAN Server";#N/A,#N/A,FALSE,"Payslip Processing";#N/A,#N/A,FALSE,"Trans Non Payroll";#N/A,#N/A,FALSE,"HRMIS"}</definedName>
    <definedName name="Width_ETO">#REF!</definedName>
    <definedName name="wrn.2004._.Feb." hidden="1">{"2004 Feb Therms",#N/A,FALSE,"Feb";"2004 Feb Gas Gross Margin Act vs act",#N/A,FALSE,"Feb";"2004 Feb Gas Gross Margin Bud vs Act",#N/A,FALSE,"Feb";"2004 Feb Norm vs Norm wna",#N/A,FALSE,"Feb";"2004 Feb Act vs Act wna",#N/A,FALSE,"Feb";"2004 Feb Budget vs norm wna",#N/A,FALSE,"Feb";"2004 Feb Bud vs act wna",#N/A,FALSE,"Feb";"2004 Feb Weather norm",#N/A,FALSE,"Feb";"2004 Feb var analy part 2",#N/A,FALSE,"Feb";"2004 Var analysis part 1",#N/A,FALSE,"Feb";"2004 Feb Act Margin Calc",#N/A,FALSE,"Feb";"2004 Feb Budget Breakdown",#N/A,FALSE,"Feb"}</definedName>
    <definedName name="wrn.2005." hidden="1">{#N/A,#N/A,FALSE,"Jan2005";#N/A,#N/A,FALSE,"Feb2005";#N/A,#N/A,FALSE,"Mar2005";#N/A,#N/A,FALSE,"Apr2005";#N/A,#N/A,FALSE,"May2005";#N/A,#N/A,FALSE,"Jun2005";#N/A,#N/A,FALSE,"Jul2005";#N/A,#N/A,FALSE,"Aug2005";#N/A,#N/A,FALSE,"Sep2005";#N/A,#N/A,FALSE,"Oct2005";#N/A,#N/A,FALSE,"Nov2005";#N/A,#N/A,FALSE,"Dec2005"}</definedName>
    <definedName name="wrn.2006." hidden="1">{#N/A,#N/A,FALSE,"Jan2006";#N/A,#N/A,FALSE,"Feb2006";#N/A,#N/A,FALSE,"Mar2006";#N/A,#N/A,FALSE,"Apr2006";#N/A,#N/A,FALSE,"May2006";#N/A,#N/A,FALSE,"Jun2006";#N/A,#N/A,FALSE,"Jul2006";#N/A,#N/A,FALSE,"Aug2006";#N/A,#N/A,FALSE,"Sep2006";#N/A,#N/A,FALSE,"Oct2006";#N/A,#N/A,FALSE,"Nov2006";#N/A,#N/A,FALSE,"Dec2006"}</definedName>
    <definedName name="wrn.2007." hidden="1">{#N/A,#N/A,FALSE,"Jan2007";#N/A,#N/A,FALSE,"Feb2007";#N/A,#N/A,FALSE,"Mar2007";#N/A,#N/A,FALSE,"Apr2007";#N/A,#N/A,FALSE,"May2007";#N/A,#N/A,FALSE,"Jun2007";#N/A,#N/A,FALSE,"Jul2007";#N/A,#N/A,FALSE,"Aug2007";#N/A,#N/A,FALSE,"Sept2007";#N/A,#N/A,FALSE,"Oct2007"}</definedName>
    <definedName name="wrn.All._.Sheets." hidden="1">{#N/A,#N/A,FALSE,"Totals";#N/A,#N/A,FALSE,"First-Of-Month";#N/A,#N/A,FALSE,"March 1-2";#N/A,#N/A,FALSE,"March 3";#N/A,#N/A,FALSE,"March 4";#N/A,#N/A,FALSE,"March 5";#N/A,#N/A,FALSE,"March 6";#N/A,#N/A,FALSE,"March 7-9";#N/A,#N/A,FALSE,"March 10";#N/A,#N/A,FALSE,"March 11";#N/A,#N/A,FALSE,"March 12";#N/A,#N/A,FALSE,"March 13";#N/A,#N/A,FALSE,"March 14-16";#N/A,#N/A,FALSE,"March 17";#N/A,#N/A,FALSE,"March 18";#N/A,#N/A,FALSE,"March 19";#N/A,#N/A,FALSE,"March 20";#N/A,#N/A,FALSE,"March 21-23";#N/A,#N/A,FALSE,"March 24"}</definedName>
    <definedName name="wrn.Apr._.2003." hidden="1">{"Apr Actual Margin Calc",#N/A,FALSE,"Apr";"Apr Gas Gross Mar Act vs Budget",#N/A,FALSE,"Apr";"Apr Budget vs Normalized Var",#N/A,FALSE,"Apr";"Apr Budget vs Actual Var",#N/A,FALSE,"Apr";"Apr Budget Breakdown",#N/A,FALSE,"Apr";"Apr Variance anal by comp1",#N/A,FALSE,"Apr";"Apr var analy by comp2",#N/A,FALSE,"Apr";"Apr weath norm revenue margin",#N/A,FALSE,"Apr";"Apr budget vs norm margin var",#N/A,FALSE,"Apr";"Apr Act vs Act Margin Var",#N/A,FALSE,"Apr";"Apr norm vs norm var",#N/A,FALSE,"Apr";"Apr Gas Gross Mar Act vs Act",#N/A,FALSE,"Apr";"Apr Therm comparison",#N/A,FALSE,"Apr";"Apr Therms",#N/A,FALSE,"Apr"}</definedName>
    <definedName name="wrn.April._.2003._.Report." hidden="1">{"Apr Gas Gross Mar Act vs Budget",#N/A,TRUE,"Apr";"Apr Gas Gross Mar Act vs Act",#N/A,TRUE,"Apr";"Apr Therm comparison",#N/A,TRUE,"Apr";"Apr Actual Margin Calc",#N/A,TRUE,"Apr";"Apr Budget vs Normalized Var",#N/A,TRUE,"Apr";"apr bud vs act margin var",#N/A,TRUE,"Apr";"Apr Budget Breakdown",#N/A,TRUE,"Apr";"Apr Variance anal by comp1",#N/A,TRUE,"Apr";"Apr var analy by comp2",#N/A,TRUE,"Apr";"Apr Act vs Act Margin Var",#N/A,TRUE,"Apr";"Apr norm vs norm var",#N/A,TRUE,"Apr"}</definedName>
    <definedName name="wrn.August._.2003." hidden="1">{"Aug Gas Gross Margin Act vs Act",#N/A,FALSE,"Aug";"Aug Gas Gross Margin Act vs Budget",#N/A,FALSE,"Aug";"Aug Norm vs Norm var anal",#N/A,FALSE,"Aug";"Aug Act vs Act Var",#N/A,FALSE,"Aug";"Aug Budget vs Nor",#N/A,FALSE,"Aug";"Aug Act Margin Var WNA",#N/A,FALSE,"Aug";"Aug WNA Margin",#N/A,FALSE,"Aug";"Aug Var anal part 2",#N/A,FALSE,"Aug";"Aug Var by component",#N/A,FALSE,"Aug";"Aug Budget Breakdown",#N/A,FALSE,"Aug";"Aug Act Margin Calc",#N/A,FALSE,"Aug";"Aug GG Act vs Act",#N/A,FALSE,"Aug";"Aug GG Act vs Budget",#N/A,FALSE,"Aug"}</definedName>
    <definedName name="wrn.Book." hidden="1">{"EVA",#N/A,FALSE,"SMT2";#N/A,#N/A,FALSE,"Summary";#N/A,#N/A,FALSE,"Graphs";#N/A,#N/A,FALSE,"4 Panel"}</definedName>
    <definedName name="wrn.CapersPlotter." hidden="1">{#N/A,#N/A,FALSE,"DI 2 YEAR MASTER SCHEDULE"}</definedName>
    <definedName name="wrn.Complete." hidden="1">{#N/A,#N/A,FALSE,"SMT1";#N/A,#N/A,FALSE,"SMT2";#N/A,#N/A,FALSE,"Summary";#N/A,#N/A,FALSE,"Graphs";#N/A,#N/A,FALSE,"4 Panel"}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Dec._.2003." hidden="1">{"Dec Therms",#N/A,FALSE,"Dec";"Dec Gas Gross Margin Act vs Act",#N/A,FALSE,"Dec";"Dec Gas Gross Margin Actual vs Budget",#N/A,FALSE,"Dec";"Dec Normalized vs Normalized WNA",#N/A,FALSE,"Dec";"Dec Actual vs Actual WNA",#N/A,FALSE,"Dec";"Dec Budget vs Normalized WNA",#N/A,FALSE,"Dec";"Dec Budget vs Actual WNC",#N/A,FALSE,"Dec";"Dec Weather Normalization",#N/A,FALSE,"Dec";"Dec Variance Analysis Part 2",#N/A,FALSE,"Dec";"Dec Variance analysis part 1",#N/A,FALSE,"Dec";"Dec Budget Breakdown",#N/A,FALSE,"Dec";"Dec Actual Margin Calculation",#N/A,FALSE,"Dec"}</definedName>
    <definedName name="wrn.Edutainment._.Priority._.List." hidden="1">{#N/A,#N/A,FALSE,"DI 2 YEAR MASTER SCHEDULE"}</definedName>
    <definedName name="wrn.Executive._.Reports.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planations." hidden="1">{"exp SC1",#N/A,FALSE,"Mar";"exp SC2",#N/A,FALSE,"Mar";"exp SC2MB",#N/A,FALSE,"Mar";"exp SC1MB",#N/A,FALSE,"Mar";"exp roll up for tables",#N/A,FALSE,"Mar"}</definedName>
    <definedName name="wrn.Feb._.all._.sheets." hidden="1">{"FEB 03 Budget Breakdown",#N/A,FALSE,"Feb";"FEB 03 Actual Margin Calculation",#N/A,FALSE,"Feb";"FEB 03 Variance Analysis by Component",#N/A,FALSE,"Feb";"FEB 03 Variance Analysis part 2 by component",#N/A,FALSE,"Feb";"FEB 03 Weather Normalized Revenue Margin",#N/A,FALSE,"Feb";"FEB 03 Budget vs Actual Margin Variance",#N/A,FALSE,"Feb";"FEB 03 Budget vs Normalized Margin Variance",#N/A,FALSE,"Feb";"FEB 03 Actual vs Actual Margin Variance",#N/A,FALSE,"Feb";"FEB 03 Normalized vs Normalized Margin Variance",#N/A,FALSE,"Feb";"FEB 03 Gas Gross Margin Actuals vs Budget",#N/A,FALSE,"Feb";"FEB 03 Gas Gross Margin Actual vs Actual",#N/A,FALSE,"Feb"}</definedName>
    <definedName name="wrn.Feb._.Package." hidden="1">{"FEB 03 Gas Gross Margin Actuals vs Budget",#N/A,FALSE,"Feb";"FEB 03 Gas Gross Margin Actual vs Actual",#N/A,FALSE,"Feb";"FEB 03 Actual Margin Calculation",#N/A,FALSE,"Feb";"FEB 03 Variance Analysis by Component",#N/A,FALSE,"Feb";"FEB 03 Variance Analysis part 2 by component",#N/A,FALSE,"Feb";"FEB 03 Budget vs Actual Margin Variance",#N/A,FALSE,"Feb";"FEB 03 Budget vs Normalized Margin Variance",#N/A,FALSE,"Feb";"FEB 03 Normalized vs Normalized Margin Variance",#N/A,FALSE,"Feb";"FEB 03 Actual vs Actual Margin Variance",#N/A,FALSE,"Feb";"FEB 03 Weather Normalized Revenue Margin",#N/A,FALSE,"Feb";"FEB 03 Budget Breakdown",#N/A,FALSE,"Feb";"YTD Gas Gross Margin Actual vs Budget",#N/A,FALSE,"Feb";"YTD Gas Gross Margin Actual vs Actual",#N/A,FALSE,"Feb";"YTD Actual Margin Calculaton",#N/A,FALSE,"Feb";"YTD Variance Analysis by Component part 1",#N/A,FALSE,"Feb";"YTD Budget vs Actual Margin Variance",#N/A,FALSE,"Feb";"YTD Budget vs Normalized Margin Variance",#N/A,FALSE,"Feb";"YTD Normalized vs Normalized Margin Variance",#N/A,FALSE,"Feb"}</definedName>
    <definedName name="wrn.Financials.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wrn.Financials._new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wrn.Full._.Report." hidden="1">{"Page1",#N/A,FALSE,"pg1";"Page2",#N/A,FALSE,"pg2";"Page3",#N/A,FALSE,"pg3";"Page4",#N/A,FALSE,"PL";"Page5",#N/A,FALSE,"BS";"Page6",#N/A,FALSE,"CF";"Page7",#N/A,FALSE,"pg7";"Page8",#N/A,FALSE,"pg8";"Page9",#N/A,FALSE,"pg9";"Page10",#N/A,FALSE,"pg10";"Page11",#N/A,FALSE,"pg11";"Page12",#N/A,FALSE,"pg12";"Page13",#N/A,FALSE,"pg13";"Page14",#N/A,FALSE,"pg14";"Page15",#N/A,FALSE,"pg15";"Page16",#N/A,FALSE,"pg16";"Page17",#N/A,FALSE,"pg17";"Page18",#N/A,FALSE,"pg18";"Page19",#N/A,FALSE,"pg19";"Page20",#N/A,FALSE,"pg20";"Page21",#N/A,FALSE,"pg21";"Page22",#N/A,FALSE,"pg22";"Page23",#N/A,FALSE,"pg23";"Page24",#N/A,FALSE,"pg24";"Page25",#N/A,FALSE,"pg25";"Page26",#N/A,FALSE,"pg26";"Page27",#N/A,FALSE,"pg27";"Page28",#N/A,FALSE,"pg28"}</definedName>
    <definedName name="wrn.Full._.Report.1" hidden="1">{"Page1",#N/A,FALSE,"pg1";"Page2",#N/A,FALSE,"pg2";"Page3",#N/A,FALSE,"pg3";"Page4",#N/A,FALSE,"PL";"Page5",#N/A,FALSE,"BS";"Page6",#N/A,FALSE,"CF";"Page7",#N/A,FALSE,"pg7";"Page8",#N/A,FALSE,"pg8";"Page9",#N/A,FALSE,"pg9";"Page10",#N/A,FALSE,"pg10";"Page11",#N/A,FALSE,"pg11";"Page12",#N/A,FALSE,"pg12";"Page13",#N/A,FALSE,"pg13";"Page14",#N/A,FALSE,"pg14";"Page15",#N/A,FALSE,"pg15";"Page16",#N/A,FALSE,"pg16";"Page17",#N/A,FALSE,"pg17";"Page18",#N/A,FALSE,"pg18";"Page19",#N/A,FALSE,"pg19";"Page20",#N/A,FALSE,"pg20";"Page21",#N/A,FALSE,"pg21";"Page22",#N/A,FALSE,"pg22";"Page23",#N/A,FALSE,"pg23";"Page24",#N/A,FALSE,"pg24";"Page25",#N/A,FALSE,"pg25";"Page26",#N/A,FALSE,"pg26";"Page27",#N/A,FALSE,"pg27";"Page28",#N/A,FALSE,"pg28"}</definedName>
    <definedName name="wrn.GAC._.RECO." hidden="1">{#N/A,#N/A,FALSE,"EST TRANS ";#N/A,#N/A,FALSE,"PIPELINE REF";#N/A,#N/A,FALSE,"GAC COST REC";#N/A,#N/A,FALSE,"INT ON PIPELINE";#N/A,#N/A,FALSE,"PIPELINE REF";#N/A,#N/A,FALSE,"Monthly Imbalan";#N/A,#N/A,FALSE,"PRORATED T.A.C.";#N/A,#N/A,FALSE,"TRAN REF SUR";#N/A,#N/A,FALSE,"INTERRUPTIBLE";#N/A,#N/A,FALSE,"PRIOR  TRANS";#N/A,#N/A,FALSE,"EST TRANS "}</definedName>
    <definedName name="wrn.Goals._.Backup." hidden="1">{#N/A,#N/A,FALSE,"Summary";#N/A,#N/A,FALSE,"PSA Incentive";#N/A,#N/A,FALSE,"LI Steam F.O. Lost MWHRs";#N/A,#N/A,FALSE,"LI IC F.O.F. ";#N/A,#N/A,FALSE,"LI Accident Reduction";#N/A,#N/A,FALSE,"RavIC FOF";#N/A,#N/A,FALSE,"Rav Steam EFOR";#N/A,#N/A,FALSE,"RavIC Summer DMNC";#N/A,#N/A,FALSE,"Rav OSHA Lost Time Accid"}</definedName>
    <definedName name="wrn.Granite._.Mgmt._.Financials." hidden="1">{#N/A,#N/A,FALSE,"Fly";#N/A,#N/A,FALSE,"BS";#N/A,#N/A,FALSE,"PL";#N/A,#N/A,FALSE,"Note1";#N/A,#N/A,FALSE,"Sch1";#N/A,#N/A,FALSE,"Sch2";#N/A,#N/A,FALSE,"Sch3";#N/A,#N/A,FALSE,"Sch4"}</definedName>
    <definedName name="wrn.Jan._.2004." hidden="1">{"2004 Jan GGross Margin Act vs Act",#N/A,FALSE,"Jan";"2004 Jan GGross Margin Act vs Budget",#N/A,FALSE,"Jan";"2004 Jan Norm vs Norm",#N/A,FALSE,"Jan";"2004 Jan Act vs Act",#N/A,FALSE,"Jan";"2004 Jan Budget vs Normalized",#N/A,FALSE,"Jan";"2004 Jan Act vs Budget",#N/A,FALSE,"Jan";"2004 Jan Weather Norm",#N/A,FALSE,"Jan";"2004 Jan Varance Anal by component",#N/A,FALSE,"Jan";"2004 Jan Budget",#N/A,FALSE,"Jan";"2004 Jan Actual Margin Calc",#N/A,FALSE,"Jan";"2004 Jan Therms",#N/A,FALSE,"Jan"}</definedName>
    <definedName name="wrn.Jan._.Package._.2003." hidden="1">{"Jan Gas Gross Margin Actual vs Budget",#N/A,FALSE,"Jan";"Jan Gas Gross Margin Actual vs Actual",#N/A,FALSE,"Jan";"Jan Actual margin calculation clean",#N/A,FALSE,"Jan";"Jan Variance Analysis by Component",#N/A,FALSE,"Jan";"Jan Variance Analysis by Component 2",#N/A,FALSE,"Jan";"Jan Budget vs Actual",#N/A,FALSE,"Jan";"Jan Budget vs Normalized",#N/A,FALSE,"Jan";"Jan Normalized vs Normalized",#N/A,FALSE,"Jan";"JAN Actual To Actual Margin Variance",#N/A,FALSE,"Jan";"JAN Weather Normalized Revenue Margin",#N/A,FALSE,"Jan";"JAN Budget Breakdown",#N/A,FALSE,"Jan";"YTD Gas Gross Margin Actual vs Budget",#N/A,FALSE,"YTD";"YTD Gas Gross Margin Actual vs Actual",#N/A,FALSE,"YTD";"YTD Actual Margin Calculaton",#N/A,FALSE,"YTD";"YTD Variance Analysis by Component",#N/A,FALSE,"YTD";"YTD Budget vs Actual Margin Variance",#N/A,FALSE,"YTD";"YTD Budget vs Normalized Margin Variance",#N/A,FALSE,"YTD";"YTD Normalized vs Normalized Margin Variance",#N/A,FALSE,"YTD"}</definedName>
    <definedName name="wrn.Japan_Capers_Ed._.Pub." hidden="1">{"Japan_Capers_Ed_Pub",#N/A,FALSE,"DI 2 YEAR MASTER SCHEDULE"}</definedName>
    <definedName name="wrn.July._.2003." hidden="1">{"July Therms",#N/A,FALSE,"Jul";"July Normalized vs Normalized",#N/A,FALSE,"Jul";"July Act vs Actual Margin Var",#N/A,FALSE,"Jul";"July Budget vs Normalized",#N/A,FALSE,"Jul";"July Bud vs Act Marg Variance",#N/A,FALSE,"Jul";"July Weather Normalized Revenue",#N/A,FALSE,"Jul";"July Variance Analy part 2",#N/A,FALSE,"Jul";"July Var Analysis part 1",#N/A,FALSE,"Jul";"Jul Actual Margin Calc",#N/A,FALSE,"Jul"}</definedName>
    <definedName name="wrn.June._.2003." hidden="1">{"June 03 Therm Comparison",#N/A,FALSE,"Jun";"June 03 Act vs Act Margin Var",#N/A,FALSE,"Jun";"June 03 Budget vs Norm Margin Var",#N/A,FALSE,"Jun";"June 03 Budget vs Act Margin Var",#N/A,FALSE,"Jun";"June 03 Weather Norm Rev Margin",#N/A,FALSE,"Jun";"June 03 Act Margin Calc",#N/A,FALSE,"Jun";"June 03 Budget Breakdown",#N/A,FALSE,"Jun";"June 03 Variance by comp p1",#N/A,FALSE,"Jun";"June 03 Var Analys by comp p2",#N/A,FALSE,"Jun";"June 03 Gas Gross Budg vs Act",#N/A,FALSE,"Jun";"June 03 Gas Gross Act vs Act",#N/A,FALSE,"Jun"}</definedName>
    <definedName name="wrn.Jury.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Jury.New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March._.2003." hidden="1">{"MAR 03 Gas Gross Margin Actual vs Actual",#N/A,FALSE,"Mar";"MAR 03 Gas Gross Margin Actuals vs Budget",#N/A,FALSE,"Mar";"MAR 03 Normalized vs Normalized Margin Variance",#N/A,FALSE,"Mar";"MAR 03 Actual vs Actual Margin Variance",#N/A,FALSE,"Mar";"MAR 03 Budget vs Normalized Margin Variance",#N/A,FALSE,"Mar";"MAR 03 Budget vs Actual Margin",#N/A,FALSE,"Mar";"MAR 03 Weather Normalized Revenue Margin",#N/A,FALSE,"Mar";"MAR 03 Variance Analysis part 2 by component",#N/A,FALSE,"Mar";"MAR 03 Variance Analysis by Component",#N/A,FALSE,"Mar";"MAR 03 Actual Margin Calculation",#N/A,FALSE,"Mar";"MAR 03 Budget Breakdown",#N/A,FALSE,"Mar"}</definedName>
    <definedName name="wrn.March._.collection._.report." hidden="1">{"Collection report",#N/A,FALSE,"March"}</definedName>
    <definedName name="wrn.March._.Package." hidden="1">{"MAR 03 Gas Gross Margin Actuals vs Budget",#N/A,FALSE,"Mar";"MAR 03 Gas Gross Margin Actual vs Actual",#N/A,FALSE,"Mar";"MAR 03 Actual Margin Calculation",#N/A,FALSE,"Mar";"MAR 03 Variance Analysis by Component",#N/A,FALSE,"Mar";"MAR 03 Variance Analysis part 2 by component",#N/A,FALSE,"Mar";"MAR 03 Budget vs Actual Margin",#N/A,FALSE,"Mar";"MAR 03 Budget vs Normalized Margin Variance",#N/A,FALSE,"Mar";"MAR 03 Normalized vs Normalized Margin Variance",#N/A,FALSE,"Mar";"MAR 03 Actual vs Actual Margin Variance",#N/A,FALSE,"Mar";"MAR 03 Weather Normalized Revenue Margin",#N/A,FALSE,"Mar";"MAR 03 Budget Breakdown",#N/A,FALSE,"Mar";"YTD Gas Gross Margin Actual vs Budget",#N/A,FALSE,"YTD";"YTD Gas Gross Margin Actual vs Actual",#N/A,FALSE,"YTD";"YTD Actual Margin Calculaton",#N/A,FALSE,"YTD";"YTD Variance Analysis by Component",#N/A,FALSE,"YTD";"YTD Budget vs Actual Margin Variance",#N/A,FALSE,"YTD";"YTD Budget vs Normalized Margin Variance",#N/A,FALSE,"YTD";"YTD Normalized vs Normalized Margin Variance",#N/A,FALSE,"YTD"}</definedName>
    <definedName name="wrn.May._.2003." hidden="1">{"May Actual Margin Calculation",#N/A,FALSE,"May";"May Gas Gross Actual vs Budget",#N/A,FALSE,"May";"May Gas Gross Actual Actual",#N/A,FALSE,"May";"May Budget Breakdown",#N/A,FALSE,"May";"May Variance analysis by component",#N/A,FALSE,"May";"May Variance Analysis part 2",#N/A,FALSE,"May";"May WNA",#N/A,FALSE,"May";"May Budget vs Actual Variance",#N/A,FALSE,"May";"May Budget vs Normalized Variance",#N/A,FALSE,"May";"May Act vs Act Margin Variance",#N/A,FALSE,"May";"May Norm vs Norm Margin Variance",#N/A,FALSE,"May";"May Therms",#N/A,FALSE,"May"}</definedName>
    <definedName name="wrn.MISC." hidden="1">{"Apr Gas Gross Mar Act vs Budget",#N/A,FALSE,"Apr";"May Gas Gross Actual vs Budget",#N/A,FALSE,"May";"June 03 Gas Gross Budg vs Act",#N/A,FALSE,"Jun";"Jul Gas Gross Act vs Budget",#N/A,FALSE,"Jul";"Aug GG Act vs Budget",#N/A,FALSE,"Aug"}</definedName>
    <definedName name="wrn.Nov._.2003." hidden="1">{"Nov Therms",#N/A,FALSE,"Nov";"Nov Varance analysis part 2",#N/A,FALSE,"Nov";"NOV 2002 Actuals vs Budget",#N/A,FALSE,"Nov";"Nov Budget Breakdown",#N/A,FALSE,"Nov";"NOV Budget vs Normalized Margin Variance",#N/A,FALSE,"Nov";"NOV Weather Normalized Revenue Margin",#N/A,FALSE,"Nov";"NOV Actual 2002 vs Actual 2001",#N/A,FALSE,"Nov";"Nov Actual Margin Calculation",#N/A,FALSE,"Nov";"NOV Variance analysis by component part 1",#N/A,FALSE,"Nov";"NOV Budget vs Actual Margin Variance",#N/A,FALSE,"Nov"}</definedName>
    <definedName name="wrn.NT_T._.Manpower._.by._.Department." hidden="1">{"NT&amp;T TSM",#N/A,FALSE,"Current_Data";"NT&amp;T TRA",#N/A,FALSE,"Current_Data";"NT&amp;T SOP",#N/A,FALSE,"Current_Data";"NT&amp;T REG",#N/A,FALSE,"Current_Data";"NT&amp;T FIN",#N/A,FALSE,"Current_Data";"NT&amp;T Dir",#N/A,FALSE,"Current_Data";"NT&amp;T Asset Strategy",#N/A,FALSE,"Current_Data";"NT&amp;T Asset",#N/A,FALSE,"Current_Data"}</definedName>
    <definedName name="wrn.Oct._.2003." hidden="1">{"Oct Therms",#N/A,FALSE,"Oct";"Oct Act vs Act",#N/A,FALSE,"Oct";"Oct Act vs Budget",#N/A,FALSE,"Oct";"Oct WNA Revenue Margin",#N/A,FALSE,"Oct";"Oct Variance Analysis by Component",#N/A,FALSE,"Oct";"Oct Actual Margin Calc",#N/A,FALSE,"Oct";"Oct Var Analysis part 2",#N/A,FALSE,"Oct";"Oct Budget vs Actual Margin Varinance",#N/A,FALSE,"Oct";"Oct Budget vs Normalized Margin Variance",#N/A,FALSE,"Oct";"Oct Act vs Act Margin Variance",#N/A,FALSE,"Oct";"Oct Norm vs Norm Margin Variance",#N/A,FALSE,"Oct"}</definedName>
    <definedName name="wrn.PRINT._.ALL." hidden="1">{#N/A,#N/A,FALSE,"JV167";#N/A,#N/A,FALSE,"INPUT AREA"}</definedName>
    <definedName name="wrn.Print._.Report." hidden="1">{#N/A,#N/A,FALSE,"COG Reco";#N/A,#N/A,FALSE,"Gas Cost Accrual Analysis";#N/A,#N/A,FALSE,"Analysis of Unbilled Adjustment"}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Rate._.Reports." hidden="1">{#N/A,#N/A,FALSE,"Monthly Rate By Activity";#N/A,#N/A,FALSE,"Hourly Rate By Activity";#N/A,#N/A,FALSE,"Monthly Rate By Custom Resource";#N/A,#N/A,FALSE,"Hourly Rate By Custom Resource"}</definedName>
    <definedName name="wrn.Rate._.Reports.new" hidden="1">{#N/A,#N/A,FALSE,"Monthly Rate By Activity";#N/A,#N/A,FALSE,"Hourly Rate By Activity";#N/A,#N/A,FALSE,"Monthly Rate By Custom Resource";#N/A,#N/A,FALSE,"Hourly Rate By Custom Resource"}</definedName>
    <definedName name="wrn.Report._.Print." hidden="1">{#N/A,#N/A,FALSE,"Graphs";#N/A,#N/A,FALSE,"Cost";#N/A,#N/A,FALSE,"Hours"}</definedName>
    <definedName name="wrn.Rippert.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ippert.new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ippert1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ippert1_new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Sep._.2003." hidden="1">{"sep act vs act ggm",#N/A,FALSE,"Sep";"sep act vs budget",#N/A,FALSE,"Sep";"sep actual margin calc",#N/A,FALSE,"Sep";"sep therms",#N/A,FALSE,"Sep";"sep var analysis by component",#N/A,FALSE,"Sep";"sep weather norm credits",#N/A,FALSE,"Sep";"sep bud vs act margin var",#N/A,FALSE,"Sep";"sep actual vs actual margin variance",#N/A,FALSE,"Sep"}</definedName>
    <definedName name="wrn.Staffing." hidden="1">{#N/A,#N/A,FALSE,"Assessment";#N/A,#N/A,FALSE,"Staffing";#N/A,#N/A,FALSE,"Hires";#N/A,#N/A,FALSE,"Assumptions"}</definedName>
    <definedName name="wrn.Staffing._.Inputs." hidden="1">{#N/A,#N/A,FALSE,"Overall Staffing Review";#N/A,#N/A,FALSE,"Detailed Resource Mix Review";#N/A,#N/A,FALSE,"Detailed Pyramid Review";#N/A,#N/A,FALSE,"Hours By Activity";#N/A,#N/A,FALSE,"Hours By Custom Resource"}</definedName>
    <definedName name="wrn.staffing.new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orage." hidden="1">{"Storage",#N/A,FALSE,"Storage"}</definedName>
    <definedName name="wrn.Supplemental._.Information." hidden="1">{#N/A,#N/A,FALSE,"Assumptions";#N/A,#N/A,FALSE,"DNP Expense Summary";#N/A,#N/A,FALSE,"Sensitivity Analysis"}</definedName>
    <definedName name="wrn.wamr." hidden="1">{#N/A,#N/A,FALSE,"Header";#N/A,#N/A,FALSE,"Assumptions";#N/A,#N/A,FALSE,"Summary";#N/A,#N/A,FALSE,"Client Cost Baseline";#N/A,#N/A,FALSE,"Service Delivery ";#N/A,#N/A,FALSE,"Service Management";#N/A,#N/A,FALSE,"Transition";#N/A,#N/A,FALSE,"Business Integration";#N/A,#N/A,FALSE,"Operating Costs";#N/A,#N/A,FALSE,"Capex";#N/A,#N/A,FALSE,"Accommodation";#N/A,#N/A,FALSE,"Telecommunications";#N/A,#N/A,FALSE,"LAN Server";#N/A,#N/A,FALSE,"Payslip Processing";#N/A,#N/A,FALSE,"Trans Non Payroll";#N/A,#N/A,FALSE,"HRMIS"}</definedName>
    <definedName name="wrn.Working._.papers." hidden="1">{#N/A,#N/A,FALSE,"DATA";#N/A,#N/A,FALSE,"Solvency";#N/A,#N/A,FALSE,"Return on Investment"}</definedName>
    <definedName name="wrn.year._.2004." hidden="1">{"2004 4 April",#N/A,FALSE,"Apr2004";"2004 5 May",#N/A,FALSE,"May2004";"2004 6 June",#N/A,FALSE,"Jun2004";"2004 7 July",#N/A,FALSE,"Jul2004";"2004 8 August",#N/A,FALSE,"Aug2004";"2004 9 Sept",#N/A,FALSE,"Sep2004";"2004 10 Oct",#N/A,FALSE,"Oct2004";#N/A,#N/A,FALSE,"Nov2004";#N/A,#N/A,FALSE,"Dec2004"}</definedName>
    <definedName name="wrn.YTD._.2003._.2004." hidden="1">{"YTD Therms",#N/A,FALSE,"YTD";"YTD Gas Gross Margin Actual vs Actual",#N/A,FALSE,"YTD";"YTD Gas Gross Margin Actual vs Budget",#N/A,FALSE,"YTD";"YTD Normalized vs Normalized WNA",#N/A,FALSE,"YTD";"YTD Actual vs Actual WNA",#N/A,FALSE,"YTD";"YTD Budget vs Normalized WNA",#N/A,FALSE,"YTD";"YTD Budget vs Actual WNA",#N/A,FALSE,"YTD";"YTD Weather Normalization",#N/A,FALSE,"YTD";"YTD Variance Analysis by Components",#N/A,FALSE,"YTD";"YTD Budget Breakdown",#N/A,FALSE,"YTD";"YTD Actual Margin Calculation",#N/A,FALSE,"YTD"}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wew" hidden="1">{"'PRODUCTIONCOST SHEET'!$B$3:$G$48"}</definedName>
    <definedName name="x" hidden="1">{#N/A,#N/A,FALSE,"DI 2 YEAR MASTER SCHEDULE"}</definedName>
    <definedName name="yuo" hidden="1">{"'PRODUCTIONCOST SHEET'!$B$3:$G$48"}</definedName>
    <definedName name="yy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yyy" hidden="1">{#N/A,#N/A,FALSE,"DI 2 YEAR MASTER SCHEDULE"}</definedName>
    <definedName name="z" hidden="1">{#N/A,#N/A,FALSE,"DI 2 YEAR MASTER SCHEDULE"}</definedName>
    <definedName name="Z_9A428CE1_B4D9_11D0_A8AA_0000C071AEE7_.wvu.Cols" hidden="1">#REF!,#REF!</definedName>
    <definedName name="Z_9A428CE1_B4D9_11D0_A8AA_0000C071AEE7_.wvu.PrintArea" hidden="1">#REF!</definedName>
    <definedName name="Z_9A428CE1_B4D9_11D0_A8AA_0000C071AEE7_.wvu.Rows" hidden="1">#N/A</definedName>
    <definedName name="zsdgaerh" hidden="1">{#N/A,#N/A,FALSE,"Graphs";#N/A,#N/A,FALSE,"Cost";#N/A,#N/A,FALSE,"Hours"}</definedName>
  </definedNames>
  <calcPr calcId="191029" forceFullCalc="1"/>
  <pivotCaches>
    <pivotCache cacheId="9" r:id="rId7"/>
    <pivotCache cacheId="6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7" l="1"/>
  <c r="K20" i="7" s="1"/>
  <c r="M20" i="7" s="1"/>
  <c r="J19" i="7"/>
  <c r="K19" i="7" s="1"/>
  <c r="M19" i="7" s="1"/>
  <c r="N10" i="6" s="1"/>
  <c r="O10" i="6" s="1"/>
  <c r="J18" i="7"/>
  <c r="K18" i="7" s="1"/>
  <c r="M18" i="7" s="1"/>
  <c r="J17" i="7"/>
  <c r="K17" i="7" s="1"/>
  <c r="M17" i="7" s="1"/>
  <c r="J16" i="7"/>
  <c r="K16" i="7" s="1"/>
  <c r="M16" i="7" s="1"/>
  <c r="N9" i="6" s="1"/>
  <c r="O9" i="6" s="1"/>
  <c r="J15" i="7"/>
  <c r="K15" i="7" s="1"/>
  <c r="M15" i="7" s="1"/>
  <c r="J14" i="7"/>
  <c r="K14" i="7" s="1"/>
  <c r="M14" i="7" s="1"/>
  <c r="J13" i="7"/>
  <c r="K13" i="7" s="1"/>
  <c r="M13" i="7" s="1"/>
  <c r="J12" i="7"/>
  <c r="K12" i="7" s="1"/>
  <c r="M12" i="7" s="1"/>
  <c r="J11" i="7"/>
  <c r="K11" i="7" s="1"/>
  <c r="M11" i="7" s="1"/>
  <c r="N7" i="6" s="1"/>
  <c r="O7" i="6" s="1"/>
  <c r="J10" i="7"/>
  <c r="K10" i="7" s="1"/>
  <c r="M10" i="7" s="1"/>
  <c r="J9" i="7"/>
  <c r="K9" i="7" s="1"/>
  <c r="M9" i="7" s="1"/>
  <c r="J8" i="7"/>
  <c r="K8" i="7" s="1"/>
  <c r="M8" i="7" s="1"/>
  <c r="J7" i="7"/>
  <c r="K7" i="7" s="1"/>
  <c r="M7" i="7" s="1"/>
  <c r="J6" i="7"/>
  <c r="K6" i="7" s="1"/>
  <c r="M6" i="7" s="1"/>
  <c r="J5" i="7"/>
  <c r="K5" i="7" s="1"/>
  <c r="M5" i="7" s="1"/>
  <c r="M10" i="6"/>
  <c r="M9" i="6"/>
  <c r="M8" i="6"/>
  <c r="M7" i="6"/>
  <c r="M6" i="6"/>
  <c r="M5" i="6"/>
  <c r="C69" i="2"/>
  <c r="C68" i="2"/>
  <c r="C67" i="2"/>
  <c r="C66" i="2"/>
  <c r="C65" i="2"/>
  <c r="C64" i="2"/>
  <c r="C63" i="2"/>
  <c r="C62" i="2"/>
  <c r="C61" i="2"/>
  <c r="B61" i="2"/>
  <c r="C60" i="2"/>
  <c r="B60" i="2"/>
  <c r="C59" i="2"/>
  <c r="B59" i="2"/>
  <c r="C58" i="2"/>
  <c r="B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N6" i="6" l="1"/>
  <c r="O6" i="6" s="1"/>
  <c r="N5" i="6"/>
  <c r="O5" i="6" s="1"/>
  <c r="N8" i="6"/>
  <c r="O8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A5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Synthetic sample PO created for the Proof of Concept.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C5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Anonymised project/WBS reference linked from the workbook's SAPPivot sheet.</t>
        </r>
      </text>
    </comment>
    <comment ref="I5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User-adjustable allocation percentage. Allocations for each PO should total 100%.</t>
        </r>
      </text>
    </comment>
    <comment ref="L5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Optional manual adjustment. The sum of adjustments for a PO should normally net to zero.</t>
        </r>
      </text>
    </comment>
  </commentList>
</comments>
</file>

<file path=xl/sharedStrings.xml><?xml version="1.0" encoding="utf-8"?>
<sst xmlns="http://schemas.openxmlformats.org/spreadsheetml/2006/main" count="2177" uniqueCount="487">
  <si>
    <t>IV</t>
  </si>
  <si>
    <t>YTD TOTAL</t>
  </si>
  <si>
    <t>In Copperleaf?</t>
  </si>
  <si>
    <t>.</t>
  </si>
  <si>
    <t>Company Code</t>
  </si>
  <si>
    <t>Project Definition</t>
  </si>
  <si>
    <t>WBS Element</t>
  </si>
  <si>
    <t>Object Class</t>
  </si>
  <si>
    <t>Person Responsible</t>
  </si>
  <si>
    <t>Initiative ID</t>
  </si>
  <si>
    <t>Scheme No/Proj Ref</t>
  </si>
  <si>
    <t>WBS Regulatory Activity</t>
  </si>
  <si>
    <t>WBS Regulatory Activity | Posting period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</si>
  <si>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</si>
  <si>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</si>
  <si>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</si>
  <si>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</si>
  <si>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</si>
  <si>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</si>
  <si>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</si>
  <si>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</si>
  <si>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</si>
  <si>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1PROJECT 0001</t>
  </si>
  <si>
    <t>11</t>
  </si>
  <si>
    <t>12</t>
  </si>
  <si>
    <t>COMPANY 001</t>
  </si>
  <si>
    <t>PROJECT 0280</t>
  </si>
  <si>
    <t>PROJECT 1577</t>
  </si>
  <si>
    <t>PROJECT PROJECT 000128PROJECT 0001-PROJECT 00011</t>
  </si>
  <si>
    <t>Project Management</t>
  </si>
  <si>
    <t>PERSON 095</t>
  </si>
  <si>
    <t>INITIATIVE 00010</t>
  </si>
  <si>
    <t>INITIATIVE 01835</t>
  </si>
  <si>
    <t>W99</t>
  </si>
  <si>
    <t>6.2 Projects - Dummy - W99</t>
  </si>
  <si>
    <t>PROJECT PROJECT 000128PROJECT 0001-PROJECT 00011-PROJECT 00011-PROJECT 00012</t>
  </si>
  <si>
    <t>GT Operations</t>
  </si>
  <si>
    <t>PROJECT PROJECT 000128PROJECT 0001-PROJECT 00011-PROJECT 00011-PROJECT 00013</t>
  </si>
  <si>
    <t>NG Overhead</t>
  </si>
  <si>
    <t>PROJECT PROJECT 000128PROJECT 0001-PROJECT 00011-PROJECT 00011-PROJECT 00014</t>
  </si>
  <si>
    <t>Delivery Unit Project Management</t>
  </si>
  <si>
    <t>PROJECT PROJECT 000128PROJECT 0001-PROJECT 00012-PROJECT 00011-PROJECT 00013</t>
  </si>
  <si>
    <t>External Affiars</t>
  </si>
  <si>
    <t>PROJECT PROJECT 000128PROJECT 0001-PROJECT 00012-PROJECT 00012-PROJECT 00013</t>
  </si>
  <si>
    <t>Mechanical</t>
  </si>
  <si>
    <t>PROJECT PROJECT 000128PROJECT 0001-PROJECT 00012-PROJECT 00013-PROJECT 00011</t>
  </si>
  <si>
    <t>Contractor Project Management</t>
  </si>
  <si>
    <t>PROJECT PROJECT 000128PROJECT 0001-PROJECT 00012-PROJECT 00013-PROJECT 00016</t>
  </si>
  <si>
    <t>All</t>
  </si>
  <si>
    <t>PROJECT PROJECT 000128PROJECT 0001-PROJECT 00012-PROJECT 00014-PROJECT 00016</t>
  </si>
  <si>
    <t>PROJECT PROJECT 000128PROJECT 0001-PROJECT 00013-PROJECT 00011-PROJECT 00012</t>
  </si>
  <si>
    <t>Accomodation &amp; Facilities</t>
  </si>
  <si>
    <t>PROJECT PROJECT 000128PROJECT 0001-PROJECT 00013-PROJECT 00011-PROJECT 00013</t>
  </si>
  <si>
    <t>Environmental Assessment</t>
  </si>
  <si>
    <t>PROJECT PROJECT 000128PROJECT 0001-PROJECT 00014-PROJECT 00012-PROJECT 00014</t>
  </si>
  <si>
    <t>Rotating</t>
  </si>
  <si>
    <t>PROJECT PROJECT 000128PROJECT 0001-PROJECT 00017-PROJECT 00011-PROJECT 00011</t>
  </si>
  <si>
    <t>PROJECT 0285</t>
  </si>
  <si>
    <t>PROJECT 1580</t>
  </si>
  <si>
    <t>PROJECT PROJECT 0001285-PROJECT 00011-PROJECT 00011-PROJECT 00012</t>
  </si>
  <si>
    <t>PERSON 016</t>
  </si>
  <si>
    <t>INITIATIVE 00011</t>
  </si>
  <si>
    <t>INITIATIVE 01837</t>
  </si>
  <si>
    <t>PROJECT PROJECT 0001285-PROJECT 00011-PROJECT 00011-PROJECT 00013</t>
  </si>
  <si>
    <t>PROJECT PROJECT 0001285-PROJECT 00011-PROJECT 00011-PROJECT 00014</t>
  </si>
  <si>
    <t>PROJECT PROJECT 0001285-PROJECT 00012-PROJECT 00012-PROJECT 00013</t>
  </si>
  <si>
    <t>PROJECT PROJECT 0001285-PROJECT 00012-PROJECT 00013-PROJECT 00016</t>
  </si>
  <si>
    <t>PROJECT 0371</t>
  </si>
  <si>
    <t>PROJECT 1626</t>
  </si>
  <si>
    <t>PROJECT PROJECT 0001371-PROJECT 00011-PROJECT 00011-PROJECT 00011</t>
  </si>
  <si>
    <t>GT Project Management</t>
  </si>
  <si>
    <t>PERSON 115</t>
  </si>
  <si>
    <t>INITIATIVE 00129</t>
  </si>
  <si>
    <t>INITIATIVE 01912</t>
  </si>
  <si>
    <t>AAA</t>
  </si>
  <si>
    <t>Asset Health (Baseline) GT1 Carry Over</t>
  </si>
  <si>
    <t>PROJECT PROJECT 0001371-PROJECT 00011-PROJECT 00011-PROJECT 00013</t>
  </si>
  <si>
    <t>NG Overheads</t>
  </si>
  <si>
    <t>PROJECT PROJECT 0001371-PROJECT 00012-PROJECT 00012-PROJECT 00011</t>
  </si>
  <si>
    <t>PROJECT PROJECT 0001371-PROJECT 00014-PROJECT 00011-PROJECT 00013</t>
  </si>
  <si>
    <t>Consultancy Services</t>
  </si>
  <si>
    <t>PROJECT PROJECT 0001371-PROJECT 00017-PROJECT 00011-PROJECT 00011</t>
  </si>
  <si>
    <t>PROJECT 0416</t>
  </si>
  <si>
    <t>PROJECT 1575</t>
  </si>
  <si>
    <t>PROJECT PROJECT 0001416-PROJECT 00011</t>
  </si>
  <si>
    <t>PERSON 092</t>
  </si>
  <si>
    <t>INITIATIVE 00145</t>
  </si>
  <si>
    <t>INITIATIVE 01838</t>
  </si>
  <si>
    <t>QQQ</t>
  </si>
  <si>
    <t>GT CAPEX dummy code pending correct activity code assignment</t>
  </si>
  <si>
    <t>PROJECT PROJECT 0001416-PROJECT 00011-PROJECT 00011-PROJECT 00011</t>
  </si>
  <si>
    <t>PROJECT PROJECT 0001416-PROJECT 00011-PROJECT 00011-PROJECT 00012</t>
  </si>
  <si>
    <t>PROJECT PROJECT 0001416-PROJECT 00011-PROJECT 00011-PROJECT 00013</t>
  </si>
  <si>
    <t>PROJECT PROJECT 0001416-PROJECT 00011-PROJECT 00011-PROJECT 00014</t>
  </si>
  <si>
    <t>PROJECT PROJECT 0001416-PROJECT 00011-PROJECT 00011-PROJECT 00016</t>
  </si>
  <si>
    <t>GT System Operator</t>
  </si>
  <si>
    <t>PROJECT PROJECT 0001416-PROJECT 00012-PROJECT 00011-PROJECT 00011</t>
  </si>
  <si>
    <t>Legal</t>
  </si>
  <si>
    <t>PROJECT PROJECT 0001416-PROJECT 00012-PROJECT 00011-PROJECT 00012</t>
  </si>
  <si>
    <t>Planning Consents</t>
  </si>
  <si>
    <t>PROJECT PROJECT 0001416-PROJECT 00012-PROJECT 00011-PROJECT 00013</t>
  </si>
  <si>
    <t>PROJECT PROJECT 0001416-PROJECT 00012-PROJECT 00011-PROJECT 00014</t>
  </si>
  <si>
    <t>Evironmental Impact Assessment</t>
  </si>
  <si>
    <t>PROJECT PROJECT 0001416-PROJECT 00012-PROJECT 00012-PROJECT 00013</t>
  </si>
  <si>
    <t>PROJECT PROJECT 0001416-PROJECT 00012-PROJECT 00014-PROJECT 00016</t>
  </si>
  <si>
    <t>PROJECT PROJECT 0001416-PROJECT 00013-PROJECT 00011-PROJECT 00013</t>
  </si>
  <si>
    <t>PROJECT PROJECT 0001416-PROJECT 00013-PROJECT 00012-PROJECT 00011</t>
  </si>
  <si>
    <t>Land Acquisition</t>
  </si>
  <si>
    <t>PROJECT PROJECT 0001416-PROJECT 00014-PROJECT 00011-PROJECT 00012</t>
  </si>
  <si>
    <t>Inspection Services</t>
  </si>
  <si>
    <t>PROJECT PROJECT 0001416-PROJECT 00014-PROJECT 00011-PROJECT 00013</t>
  </si>
  <si>
    <t>PROJECT PROJECT 0001416-PROJECT 00014-PROJECT 00012-PROJECT 00014</t>
  </si>
  <si>
    <t>PROJECT PROJECT 0001416-PROJECT 00017-PROJECT 00011-PROJECT 00011</t>
  </si>
  <si>
    <t>PROJECT 0417</t>
  </si>
  <si>
    <t>PROJECT 1638</t>
  </si>
  <si>
    <t>PROJECT PROJECT 0001417-PROJECT 00011-PROJECT 00011-PROJECT 00011</t>
  </si>
  <si>
    <t>INITIATIVE 00146</t>
  </si>
  <si>
    <t>INITIATIVE 01975</t>
  </si>
  <si>
    <t>PROJECT PROJECT 0001417-PROJECT 00011-PROJECT 00011-PROJECT 00013</t>
  </si>
  <si>
    <t>PROJECT PROJECT 0001417-PROJECT 00011-PROJECT 00011-PROJECT 00014</t>
  </si>
  <si>
    <t>PROJECT PROJECT 0001417-PROJECT 00012-PROJECT 00013-PROJECT 00016</t>
  </si>
  <si>
    <t>PROJECT PROJECT 0001417-PROJECT 00014-PROJECT 00012-PROJECT 00016</t>
  </si>
  <si>
    <t>Utilities</t>
  </si>
  <si>
    <t>PROJECT 0437</t>
  </si>
  <si>
    <t>PROJECT 1658</t>
  </si>
  <si>
    <t>PROJECT PROJECT 0001437-PROJECT 00011-PROJECT 00011-PROJECT 00011</t>
  </si>
  <si>
    <t>INITIATIVE 00160</t>
  </si>
  <si>
    <t>TEMPLATE</t>
  </si>
  <si>
    <t>NBM</t>
  </si>
  <si>
    <t>IED-MCP-Baseline</t>
  </si>
  <si>
    <t>PROJECT PROJECT 0001437-PROJECT 00011-PROJECT 00011-PROJECT 00012</t>
  </si>
  <si>
    <t>PROJECT PROJECT 0001437-PROJECT 00011-PROJECT 00011-PROJECT 00013</t>
  </si>
  <si>
    <t>PROJECT PROJECT 0001437-PROJECT 00011-PROJECT 00011-PROJECT 00014</t>
  </si>
  <si>
    <t>PROJECT PROJECT 0001437-PROJECT 00011-PROJECT 00011-PROJECT 00016</t>
  </si>
  <si>
    <t>PROJECT PROJECT 0001437-PROJECT 00012-PROJECT 00013-PROJECT 00016</t>
  </si>
  <si>
    <t>PROJECT PROJECT 0001437-PROJECT 00017-PROJECT 00011-PROJECT 00011</t>
  </si>
  <si>
    <t>PROJECT 0462</t>
  </si>
  <si>
    <t>PROJECT 1698</t>
  </si>
  <si>
    <t>PROJECT PROJECT 0001462-PROJECT 00011-PROJECT 00011-PROJECT 00011</t>
  </si>
  <si>
    <t>PERSON 129</t>
  </si>
  <si>
    <t>INITIATIVE 00173</t>
  </si>
  <si>
    <t>INITIATIVE 02017</t>
  </si>
  <si>
    <t>PROJECT PROJECT 0001462-PROJECT 00011-PROJECT 00011-PROJECT 00012</t>
  </si>
  <si>
    <t>PROJECT PROJECT 0001462-PROJECT 00011-PROJECT 00011-PROJECT 00013</t>
  </si>
  <si>
    <t>PROJECT PROJECT 0001462-PROJECT 00011-PROJECT 00011-PROJECT 00014</t>
  </si>
  <si>
    <t>PROJECT PROJECT 0001462-PROJECT 00011-PROJECT 00011-PROJECT 00016</t>
  </si>
  <si>
    <t>PROJECT PROJECT 0001462-PROJECT 00012-PROJECT 00012-PROJECT 00013</t>
  </si>
  <si>
    <t>PROJECT 0694</t>
  </si>
  <si>
    <t>PROJECT 1659</t>
  </si>
  <si>
    <t>PROJECT PROJECT 0001694-PROJECT 00011-PROJECT 00011-PROJECT 00012</t>
  </si>
  <si>
    <t>PERSON 158</t>
  </si>
  <si>
    <t>INITIATIVE 00158</t>
  </si>
  <si>
    <t>PROJECT 0915</t>
  </si>
  <si>
    <t>PROJECT 1514</t>
  </si>
  <si>
    <t>PROJECT PROJECT 0001915-PROJECT 00011-PROJECT 00011-PROJECT 00011</t>
  </si>
  <si>
    <t>4.PROJECT 00011 NGT Project Management</t>
  </si>
  <si>
    <t>PERSON 008</t>
  </si>
  <si>
    <t>INITIATIVE 00192</t>
  </si>
  <si>
    <t>PROJECT PROJECT 0001915-PROJECT 00011-PROJECT 00011-PROJECT 00012</t>
  </si>
  <si>
    <t>4.PROJECT 00012 NGT Staff</t>
  </si>
  <si>
    <t>PROJECT PROJECT 0001915-PROJECT 00011-PROJECT 00011-PROJECT 00014</t>
  </si>
  <si>
    <t>4.PROJECT 00014 Overhead</t>
  </si>
  <si>
    <t>PROJECT PROJECT 0001915-PROJECT 00012-PROJECT 00014-PROJECT 00012</t>
  </si>
  <si>
    <t>4.14 NGT Staff</t>
  </si>
  <si>
    <t>PROJECT PROJECT 0001915-PROJECT 00014-PROJECT 00012-PROJECT 00011</t>
  </si>
  <si>
    <t>4.24 Valves</t>
  </si>
  <si>
    <t>PROJECT PROJECT 0001915-PROJECT 00017-PROJECT 00011-PROJECT 00011</t>
  </si>
  <si>
    <t>4.38 MWC Project Management</t>
  </si>
  <si>
    <t>PROJECT 1107</t>
  </si>
  <si>
    <t>PROJECT 1975</t>
  </si>
  <si>
    <t>PROJECT 11PROJECT 00017-PROJECT 00011-PROJECT 00011-PROJECT 00014</t>
  </si>
  <si>
    <t>PERSON 055</t>
  </si>
  <si>
    <t>INITIATIVE 00282</t>
  </si>
  <si>
    <t>INITIATIVE 02196</t>
  </si>
  <si>
    <t>C11</t>
  </si>
  <si>
    <t>A22.22.3.9 - Electric Drives - Harmonic Filter - Minor Refurb</t>
  </si>
  <si>
    <t>Project Definition2</t>
  </si>
  <si>
    <t>WBS Element2</t>
  </si>
  <si>
    <t>Sum of YTD TOTAL</t>
  </si>
  <si>
    <t>(blank)</t>
  </si>
  <si>
    <t>InvestmentCode</t>
  </si>
  <si>
    <t>InvestmentName</t>
  </si>
  <si>
    <t>Area</t>
  </si>
  <si>
    <t>Facility</t>
  </si>
  <si>
    <t>FinalSubmissionInvIdT3</t>
  </si>
  <si>
    <t>FinalSubmissionVolumeT3</t>
  </si>
  <si>
    <t>InvestmentVolume</t>
  </si>
  <si>
    <t>InvIdCode</t>
  </si>
  <si>
    <t>PriceBaseOfEnteredCost</t>
  </si>
  <si>
    <t>Product</t>
  </si>
  <si>
    <t>Site</t>
  </si>
  <si>
    <t>SiteId</t>
  </si>
  <si>
    <t>FundingPositionT3Proposed</t>
  </si>
  <si>
    <t>InterventionDriver</t>
  </si>
  <si>
    <t>SAPProject</t>
  </si>
  <si>
    <t>PercentageOfWBS</t>
  </si>
  <si>
    <t>IDTTotalECC</t>
  </si>
  <si>
    <t>PACCode</t>
  </si>
  <si>
    <t>INITIATIVE 00347</t>
  </si>
  <si>
    <t>INVESTMENT 00448</t>
  </si>
  <si>
    <t>REGION 004 AND NORTH</t>
  </si>
  <si>
    <t>LOCATION 0033</t>
  </si>
  <si>
    <t>C-PROJECT 000169</t>
  </si>
  <si>
    <t>23/24</t>
  </si>
  <si>
    <t>Rotating Machinery</t>
  </si>
  <si>
    <t>SITE 00481</t>
  </si>
  <si>
    <t>Baseline</t>
  </si>
  <si>
    <t>Legislation</t>
  </si>
  <si>
    <t>INITIATIVE 02056</t>
  </si>
  <si>
    <t>INITIATIVE 00352</t>
  </si>
  <si>
    <t>INVESTMENT 00318</t>
  </si>
  <si>
    <t>LOCATION 9001</t>
  </si>
  <si>
    <t>LOCATION 0444</t>
  </si>
  <si>
    <t>C-PROJECT 000134</t>
  </si>
  <si>
    <t>SITE 00382</t>
  </si>
  <si>
    <t>Defects</t>
  </si>
  <si>
    <t>PROJECT 1276</t>
  </si>
  <si>
    <t>INITIATIVE 02237</t>
  </si>
  <si>
    <t>INITIATIVE 00353</t>
  </si>
  <si>
    <t>INVESTMENT 00579</t>
  </si>
  <si>
    <t>SITE 00554</t>
  </si>
  <si>
    <t>LOCATION 0546</t>
  </si>
  <si>
    <t>C-PROJECT 000172</t>
  </si>
  <si>
    <t>SITE 00470</t>
  </si>
  <si>
    <t>PROJECT 0700</t>
  </si>
  <si>
    <t>INITIATIVE 02000</t>
  </si>
  <si>
    <t>INITIATIVE 00356</t>
  </si>
  <si>
    <t>INVESTMENT 00441</t>
  </si>
  <si>
    <t>LOCATION 0017</t>
  </si>
  <si>
    <t>C-PROJECT 000173</t>
  </si>
  <si>
    <t>SITE 00454</t>
  </si>
  <si>
    <t>INITIATIVE 00359</t>
  </si>
  <si>
    <t>INVESTMENT 00489</t>
  </si>
  <si>
    <t>SITE 00058</t>
  </si>
  <si>
    <t>LOCATION 0123</t>
  </si>
  <si>
    <t>C-PROJECT 000175</t>
  </si>
  <si>
    <t>SITE 00460</t>
  </si>
  <si>
    <t>INITIATIVE 02055</t>
  </si>
  <si>
    <t>INITIATIVE 00370</t>
  </si>
  <si>
    <t>INVESTMENT 00546</t>
  </si>
  <si>
    <t>LOCATION 0308</t>
  </si>
  <si>
    <t>C-PROJECT 000187</t>
  </si>
  <si>
    <t>Valves</t>
  </si>
  <si>
    <t>SITE 00477</t>
  </si>
  <si>
    <t>Fixed Time Interval</t>
  </si>
  <si>
    <t>INITIATIVE 02054</t>
  </si>
  <si>
    <t>INITIATIVE 00372</t>
  </si>
  <si>
    <t>INVESTMENT 00525</t>
  </si>
  <si>
    <t>LOCATION 0282</t>
  </si>
  <si>
    <t>C-PROJECT 000194</t>
  </si>
  <si>
    <t>Compressor Fleet</t>
  </si>
  <si>
    <t>SITE 00456</t>
  </si>
  <si>
    <t>RIIO T2 - UM</t>
  </si>
  <si>
    <t>4.221PROJECT 0001493458E7</t>
  </si>
  <si>
    <t>INITIATIVE 00373</t>
  </si>
  <si>
    <t>INVESTMENT 00523</t>
  </si>
  <si>
    <t>18/19</t>
  </si>
  <si>
    <t>INITIATIVE 00374</t>
  </si>
  <si>
    <t>INVESTMENT 00522</t>
  </si>
  <si>
    <t>INITIATIVE 00377</t>
  </si>
  <si>
    <t>INVESTMENT 00513</t>
  </si>
  <si>
    <t>LOCATION 0266</t>
  </si>
  <si>
    <t>C-PROJECT 000197</t>
  </si>
  <si>
    <t>SITE 00455</t>
  </si>
  <si>
    <t>INITIATIVE 02057</t>
  </si>
  <si>
    <t>INITIATIVE 00379</t>
  </si>
  <si>
    <t>INVESTMENT 00435</t>
  </si>
  <si>
    <t>C-PROJECT 000176</t>
  </si>
  <si>
    <t>INITIATIVE 00383</t>
  </si>
  <si>
    <t>INVESTMENT 00483</t>
  </si>
  <si>
    <t>LOCATION 0108</t>
  </si>
  <si>
    <t>SITE 00461</t>
  </si>
  <si>
    <t>PROJECT 0628</t>
  </si>
  <si>
    <t>INITIATIVE 02069</t>
  </si>
  <si>
    <t>INITIATIVE 00389</t>
  </si>
  <si>
    <t>INVESTMENT 00576</t>
  </si>
  <si>
    <t>C-PROJECT 000195</t>
  </si>
  <si>
    <t>5.54197169PROJECT 00014E7</t>
  </si>
  <si>
    <t>INITIATIVE 01833</t>
  </si>
  <si>
    <t>INITIATIVE 00391</t>
  </si>
  <si>
    <t>INVESTMENT 00575</t>
  </si>
  <si>
    <t>INITIATIVE 01993</t>
  </si>
  <si>
    <t>INITIATIVE 00393</t>
  </si>
  <si>
    <t>INVESTMENT 00450</t>
  </si>
  <si>
    <t>C-333</t>
  </si>
  <si>
    <t>INITIATIVE 00394</t>
  </si>
  <si>
    <t>INVESTMENT 00460</t>
  </si>
  <si>
    <t>LOCATION 0069</t>
  </si>
  <si>
    <t>SITE 00462</t>
  </si>
  <si>
    <t>INITIATIVE 00397</t>
  </si>
  <si>
    <t>INVESTMENT 00437</t>
  </si>
  <si>
    <t>C-196</t>
  </si>
  <si>
    <t>INITIATIVE 00399</t>
  </si>
  <si>
    <t>INVESTMENT 00454</t>
  </si>
  <si>
    <t>LOCATION 0037</t>
  </si>
  <si>
    <t>SITE 00472</t>
  </si>
  <si>
    <t>PROJECT 0695</t>
  </si>
  <si>
    <t>INITIATIVE 00404</t>
  </si>
  <si>
    <t>INVESTMENT 00492</t>
  </si>
  <si>
    <t>INITIATIVE 00405</t>
  </si>
  <si>
    <t>INVESTMENT 00498</t>
  </si>
  <si>
    <t>LOCATION 0156</t>
  </si>
  <si>
    <t>SITE 00459</t>
  </si>
  <si>
    <t>INITIATIVE 00407</t>
  </si>
  <si>
    <t>INVESTMENT 00505</t>
  </si>
  <si>
    <t>INITIATIVE 00411</t>
  </si>
  <si>
    <t>INVESTMENT 00663</t>
  </si>
  <si>
    <t>INITIATIVE 00415</t>
  </si>
  <si>
    <t>INVESTMENT 00040</t>
  </si>
  <si>
    <t>Cabs</t>
  </si>
  <si>
    <t>C-177</t>
  </si>
  <si>
    <t>INITIATIVE 00416</t>
  </si>
  <si>
    <t>INVESTMENT 00186</t>
  </si>
  <si>
    <t>LOCATION 0198</t>
  </si>
  <si>
    <t>SITE 00482</t>
  </si>
  <si>
    <t>INITIATIVE 00417</t>
  </si>
  <si>
    <t>INVESTMENT 00187</t>
  </si>
  <si>
    <t>INITIATIVE 00422</t>
  </si>
  <si>
    <t>INVESTMENT 00241</t>
  </si>
  <si>
    <t>LOCATION 0351</t>
  </si>
  <si>
    <t>SITE 00480</t>
  </si>
  <si>
    <t>INITIATIVE 02052</t>
  </si>
  <si>
    <t>INITIATIVE 00431</t>
  </si>
  <si>
    <t>INVESTMENT 00041</t>
  </si>
  <si>
    <t>C-PROJECT 0001PROJECT 00014</t>
  </si>
  <si>
    <t>INITIATIVE 00432</t>
  </si>
  <si>
    <t>INVESTMENT 00072</t>
  </si>
  <si>
    <t>INITIATIVE 00434</t>
  </si>
  <si>
    <t>INVESTMENT 00238</t>
  </si>
  <si>
    <t>INITIATIVE 00436</t>
  </si>
  <si>
    <t>INVESTMENT 00422</t>
  </si>
  <si>
    <t>LOCATION 0544</t>
  </si>
  <si>
    <t>C-PROJECT 0001PROJECT 00018</t>
  </si>
  <si>
    <t>SITE 00464</t>
  </si>
  <si>
    <t>INITIATIVE 00437</t>
  </si>
  <si>
    <t>INVESTMENT 00423</t>
  </si>
  <si>
    <t>INITIATIVE 00439</t>
  </si>
  <si>
    <t>INVESTMENT 00196</t>
  </si>
  <si>
    <t>LOCATION 0240</t>
  </si>
  <si>
    <t>SITE 00473</t>
  </si>
  <si>
    <t>PROJECT 0926</t>
  </si>
  <si>
    <t>INITIATIVE 02051</t>
  </si>
  <si>
    <t>INITIATIVE 00442</t>
  </si>
  <si>
    <t>INVESTMENT 00104</t>
  </si>
  <si>
    <t>LOCATION 0130</t>
  </si>
  <si>
    <t>SITE 00457</t>
  </si>
  <si>
    <t>INITIATIVE 00446</t>
  </si>
  <si>
    <t>INVESTMENT 00044</t>
  </si>
  <si>
    <t>INITIATIVE 00448</t>
  </si>
  <si>
    <t>INVESTMENT 00206</t>
  </si>
  <si>
    <t>C-195</t>
  </si>
  <si>
    <t>Usage Based Interval</t>
  </si>
  <si>
    <t>INITIATIVE 00450</t>
  </si>
  <si>
    <t>INVESTMENT 00117</t>
  </si>
  <si>
    <t>C-186</t>
  </si>
  <si>
    <t>PROJECT 0697</t>
  </si>
  <si>
    <t>INITIATIVE 00451</t>
  </si>
  <si>
    <t>INVESTMENT 00205</t>
  </si>
  <si>
    <t>INITIATIVE 00455</t>
  </si>
  <si>
    <t>INVESTMENT 00204</t>
  </si>
  <si>
    <t>C-185</t>
  </si>
  <si>
    <t>INITIATIVE 00457</t>
  </si>
  <si>
    <t>INVESTMENT 00118</t>
  </si>
  <si>
    <t>C-133</t>
  </si>
  <si>
    <t>Obsolescence</t>
  </si>
  <si>
    <t>INITIATIVE 00460</t>
  </si>
  <si>
    <t>INVESTMENT 00225</t>
  </si>
  <si>
    <t>LOCATION 0287</t>
  </si>
  <si>
    <t>SITE 00465</t>
  </si>
  <si>
    <t>INITIATIVE 00461</t>
  </si>
  <si>
    <t>INVESTMENT 00428</t>
  </si>
  <si>
    <t>INITIATIVE 00465</t>
  </si>
  <si>
    <t>INVESTMENT 00686</t>
  </si>
  <si>
    <t>C-PROJECT 000111</t>
  </si>
  <si>
    <t>1.43877642336E8</t>
  </si>
  <si>
    <t>INITIATIVE 00467</t>
  </si>
  <si>
    <t>INVESTMENT 00682</t>
  </si>
  <si>
    <t>INITIATIVE 00470</t>
  </si>
  <si>
    <t>INVESTMENT 00685</t>
  </si>
  <si>
    <t>INITIATIVE 02098</t>
  </si>
  <si>
    <t>INITIATIVE 00476</t>
  </si>
  <si>
    <t>INVESTMENT 00563</t>
  </si>
  <si>
    <t>C-PROJECT 000115</t>
  </si>
  <si>
    <t>INITIATIVE 00477</t>
  </si>
  <si>
    <t>INVESTMENT 00700</t>
  </si>
  <si>
    <t>C-PROJECT 000117</t>
  </si>
  <si>
    <t>INITIATIVE 00483</t>
  </si>
  <si>
    <t>INVESTMENT 00310</t>
  </si>
  <si>
    <t>C-PROJECT 000129</t>
  </si>
  <si>
    <t>PROJECT 1108</t>
  </si>
  <si>
    <t>INITIATIVE 02026</t>
  </si>
  <si>
    <t>INITIATIVE 00484</t>
  </si>
  <si>
    <t>INVESTMENT 00688</t>
  </si>
  <si>
    <t>C-PROJECT 000131</t>
  </si>
  <si>
    <t>PROJECT 0445</t>
  </si>
  <si>
    <t>INITIATIVE 02010</t>
  </si>
  <si>
    <t>INITIATIVE 00485</t>
  </si>
  <si>
    <t>INVESTMENT 00325</t>
  </si>
  <si>
    <t>C-PROJECT 000135</t>
  </si>
  <si>
    <t>PROJECT 0641</t>
  </si>
  <si>
    <t>INITIATIVE 02102</t>
  </si>
  <si>
    <t>INITIATIVE 00486</t>
  </si>
  <si>
    <t>INVESTMENT 00331</t>
  </si>
  <si>
    <t>Sum of IDTTotalECC</t>
  </si>
  <si>
    <t>Sample Summary-Level Purchase Orders</t>
  </si>
  <si>
    <t>Synthetic PoC data: POs are raised above WBS level and allocated across projects/WBS in the Actual Allocation sheet.</t>
  </si>
  <si>
    <t>PO Number</t>
  </si>
  <si>
    <t>Supplier ID</t>
  </si>
  <si>
    <t>Contract Ref</t>
  </si>
  <si>
    <t>PO Description</t>
  </si>
  <si>
    <t>PO Date</t>
  </si>
  <si>
    <t>Currency</t>
  </si>
  <si>
    <t>Posting Level</t>
  </si>
  <si>
    <t>Summary Cost Object</t>
  </si>
  <si>
    <t>PO Value (£)</t>
  </si>
  <si>
    <t>Actual Posted (£)</t>
  </si>
  <si>
    <t>Allocation Basis</t>
  </si>
  <si>
    <t>Status</t>
  </si>
  <si>
    <t>Total Allocation %</t>
  </si>
  <si>
    <t>Allocated Actual (£)</t>
  </si>
  <si>
    <t>Unallocated Difference (£)</t>
  </si>
  <si>
    <t>PO-SAMPLE-001</t>
  </si>
  <si>
    <t>SUPPLIER 001</t>
  </si>
  <si>
    <t>CONTRACT 001</t>
  </si>
  <si>
    <t>Programme engineering services</t>
  </si>
  <si>
    <t>GBP</t>
  </si>
  <si>
    <t>Summary / programme</t>
  </si>
  <si>
    <t>MULTI-PROJECT</t>
  </si>
  <si>
    <t>Planned effort %</t>
  </si>
  <si>
    <t>Open / partly invoiced</t>
  </si>
  <si>
    <t>PO-SAMPLE-002</t>
  </si>
  <si>
    <t>SUPPLIER 002</t>
  </si>
  <si>
    <t>CONTRACT 002</t>
  </si>
  <si>
    <t>Regional construction framework</t>
  </si>
  <si>
    <t>Forecast ETC %</t>
  </si>
  <si>
    <t>PO-SAMPLE-003</t>
  </si>
  <si>
    <t>SUPPLIER 003</t>
  </si>
  <si>
    <t>CONTRACT 003</t>
  </si>
  <si>
    <t>Shared project management services</t>
  </si>
  <si>
    <t>Headcount / timesheet %</t>
  </si>
  <si>
    <t>PO-SAMPLE-004</t>
  </si>
  <si>
    <t>SUPPLIER 004</t>
  </si>
  <si>
    <t>CONTRACT 004</t>
  </si>
  <si>
    <t>Mechanical works call-off</t>
  </si>
  <si>
    <t>Activity quantity %</t>
  </si>
  <si>
    <t>PO-SAMPLE-005</t>
  </si>
  <si>
    <t>SUPPLIER 005</t>
  </si>
  <si>
    <t>CONTRACT 005</t>
  </si>
  <si>
    <t>Environmental and consenting services</t>
  </si>
  <si>
    <t>Approved budget %</t>
  </si>
  <si>
    <t>PO-SAMPLE-006</t>
  </si>
  <si>
    <t>SUPPLIER 006</t>
  </si>
  <si>
    <t>CONTRACT 006</t>
  </si>
  <si>
    <t>Portfolio assurance support</t>
  </si>
  <si>
    <t>Equal allocation</t>
  </si>
  <si>
    <t>Manual Actual Cost Allocation Across Projects and WBS</t>
  </si>
  <si>
    <t>Enter or adjust Allocation % and Manual Adjustment. Formula fields recalculate the final actual by WBS.</t>
  </si>
  <si>
    <t>Allocation ID</t>
  </si>
  <si>
    <t>Project Name</t>
  </si>
  <si>
    <t>WBS Description</t>
  </si>
  <si>
    <t>Investment ID</t>
  </si>
  <si>
    <t>Allocation Rule</t>
  </si>
  <si>
    <t>Allocation %</t>
  </si>
  <si>
    <t>PO Actual (£)</t>
  </si>
  <si>
    <t>Calculated Allocation (£)</t>
  </si>
  <si>
    <t>Manual Adjustment (£)</t>
  </si>
  <si>
    <t>Final Allocated Actual (£)</t>
  </si>
  <si>
    <t>Allocation Rationale</t>
  </si>
  <si>
    <t>Review Status</t>
  </si>
  <si>
    <t>ALLOC-001-01</t>
  </si>
  <si>
    <t>Sample rule; amend where business evidence supports a different split</t>
  </si>
  <si>
    <t>For review</t>
  </si>
  <si>
    <t>ALLOC-001-02</t>
  </si>
  <si>
    <t>ALLOC-001-03</t>
  </si>
  <si>
    <t>ALLOC-002-01</t>
  </si>
  <si>
    <t>ALLOC-002-02</t>
  </si>
  <si>
    <t>ALLOC-002-03</t>
  </si>
  <si>
    <t>ALLOC-003-01</t>
  </si>
  <si>
    <t>ALLOC-003-02</t>
  </si>
  <si>
    <t>ALLOC-004-01</t>
  </si>
  <si>
    <t>ALLOC-004-02</t>
  </si>
  <si>
    <t>ALLOC-004-03</t>
  </si>
  <si>
    <t>ALLOC-005-01</t>
  </si>
  <si>
    <t>ALLOC-005-02</t>
  </si>
  <si>
    <t>ALLOC-005-03</t>
  </si>
  <si>
    <t>ALLOC-006-01</t>
  </si>
  <si>
    <t>ALLOC-006-02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</si>
</sst>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6" formatCode="&quot;£&quot;\ #,##0.00;\-&quot;£&quot;\ #,##0.00"/>
    <numFmt numFmtId="167" formatCode="&quot;&quot;;\-&quot;&quot;"/>
    <numFmt numFmtId="168" formatCode="#,##0\ ;\(#,##0\);\-\ "/>
    <numFmt numFmtId="170" formatCode="dd\-mmm\-yyyy"/>
    <numFmt numFmtId="171" formatCode="\£#,##0;[Red]\(\£#,##0\);\-"/>
    <numFmt numFmtId="172" formatCode="0.0%"/>
  </numFmts>
  <fonts count="10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sz val="11"/>
      <color rgb="FF666666"/>
      <name val="Calibri"/>
      <family val="2"/>
    </font>
    <font>
      <sz val="11"/>
      <color rgb="FF0000FF"/>
      <name val="Calibri"/>
      <family val="2"/>
    </font>
    <font>
      <sz val="11"/>
      <color rgb="FF008000"/>
      <name val="Calibri"/>
      <family val="2"/>
    </font>
    <font>
      <i/>
      <sz val="11"/>
      <color rgb="FF666666"/>
      <name val="Calibri"/>
      <family val="2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5E5E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B5A55"/>
      </patternFill>
    </fill>
    <fill>
      <patternFill patternType="solid">
        <fgColor rgb="FF00AFA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4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3" fillId="3" borderId="1" xfId="2" applyFont="1" applyFill="1" applyBorder="1" applyAlignment="1">
      <alignment horizontal="left" vertical="top" wrapText="1"/>
    </xf>
    <xf numFmtId="167" fontId="3" fillId="0" borderId="1" xfId="2" applyNumberFormat="1" applyFont="1" applyBorder="1" applyAlignment="1">
      <alignment horizontal="right" vertical="top"/>
    </xf>
    <xf numFmtId="166" fontId="3" fillId="0" borderId="1" xfId="2" applyNumberFormat="1" applyFont="1" applyBorder="1" applyAlignment="1">
      <alignment horizontal="right" vertical="top"/>
    </xf>
    <xf numFmtId="0" fontId="3" fillId="3" borderId="1" xfId="1" applyFont="1" applyFill="1" applyBorder="1" applyAlignment="1">
      <alignment horizontal="left" vertical="top"/>
    </xf>
    <xf numFmtId="167" fontId="3" fillId="0" borderId="1" xfId="1" applyNumberFormat="1" applyFont="1" applyBorder="1" applyAlignment="1">
      <alignment horizontal="right" vertical="top"/>
    </xf>
    <xf numFmtId="166" fontId="3" fillId="0" borderId="1" xfId="1" applyNumberFormat="1" applyFont="1" applyBorder="1" applyAlignment="1">
      <alignment horizontal="right" vertical="top"/>
    </xf>
    <xf numFmtId="0" fontId="0" fillId="0" borderId="0" xfId="0" quotePrefix="1"/>
    <xf numFmtId="0" fontId="3" fillId="5" borderId="1" xfId="1" applyFont="1" applyFill="1" applyBorder="1" applyAlignment="1">
      <alignment horizontal="left" vertical="top"/>
    </xf>
    <xf numFmtId="0" fontId="3" fillId="2" borderId="1" xfId="1" applyFont="1" applyFill="1" applyBorder="1" applyAlignment="1">
      <alignment horizontal="left" vertical="top"/>
    </xf>
    <xf numFmtId="0" fontId="0" fillId="6" borderId="0" xfId="0" applyFill="1"/>
    <xf numFmtId="0" fontId="0" fillId="4" borderId="0" xfId="0" applyFill="1"/>
    <xf numFmtId="0" fontId="0" fillId="0" borderId="0" xfId="0" pivotButton="1"/>
    <xf numFmtId="168" fontId="0" fillId="0" borderId="0" xfId="0" applyNumberFormat="1"/>
    <xf numFmtId="0" fontId="0" fillId="0" borderId="0" xfId="0" pivotButton="1" applyAlignment="1">
      <alignment horizontal="left"/>
    </xf>
    <xf numFmtId="3" fontId="0" fillId="0" borderId="0" xfId="0" pivotButton="1" applyNumberFormat="1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7" borderId="0" xfId="0" applyFill="1"/>
    <xf numFmtId="168" fontId="0" fillId="0" borderId="0" xfId="0" applyNumberFormat="1" applyAlignment="1">
      <alignment horizontal="center"/>
    </xf>
    <xf numFmtId="0" fontId="4" fillId="8" borderId="0" xfId="0" applyFont="1" applyFill="1" applyAlignment="1">
      <alignment horizontal="left"/>
    </xf>
    <xf numFmtId="0" fontId="0" fillId="0" borderId="0" xfId="0" applyFont="1"/>
    <xf numFmtId="0" fontId="0" fillId="0" borderId="0" xfId="0" applyFont="1"/>
    <xf numFmtId="0" fontId="8" fillId="0" borderId="0" xfId="0" applyFont="1" applyAlignment="1">
      <alignment wrapText="1"/>
    </xf>
    <xf numFmtId="0" fontId="4" fillId="9" borderId="0" xfId="0" applyFont="1" applyFill="1" applyAlignment="1">
      <alignment vertical="center" wrapText="1"/>
    </xf>
    <xf numFmtId="0" fontId="5" fillId="0" borderId="0" xfId="0" applyFont="1"/>
    <xf numFmtId="170" fontId="5" fillId="0" borderId="0" xfId="0" applyNumberFormat="1" applyFont="1"/>
    <xf numFmtId="0" fontId="6" fillId="0" borderId="0" xfId="0" applyFont="1"/>
    <xf numFmtId="171" fontId="6" fillId="0" borderId="0" xfId="0" applyNumberFormat="1" applyFont="1"/>
    <xf numFmtId="172" fontId="9" fillId="0" borderId="0" xfId="0" applyNumberFormat="1" applyFont="1"/>
    <xf numFmtId="171" fontId="9" fillId="0" borderId="0" xfId="0" applyNumberFormat="1" applyFont="1"/>
    <xf numFmtId="0" fontId="4" fillId="8" borderId="0" xfId="0" applyFont="1" applyFill="1"/>
    <xf numFmtId="0" fontId="8" fillId="0" borderId="0" xfId="0" applyFont="1"/>
    <xf numFmtId="0" fontId="7" fillId="0" borderId="0" xfId="0" applyFont="1"/>
    <xf numFmtId="172" fontId="6" fillId="10" borderId="0" xfId="0" applyNumberFormat="1" applyFont="1" applyFill="1"/>
    <xf numFmtId="171" fontId="7" fillId="0" borderId="0" xfId="0" applyNumberFormat="1" applyFont="1"/>
    <xf numFmtId="171" fontId="6" fillId="10" borderId="0" xfId="0" applyNumberFormat="1" applyFont="1" applyFill="1"/>
  </cellXfs>
  <cellStyles count="3">
    <cellStyle name="Normal" xfId="0" builtinId="0"/>
    <cellStyle name="Normal 2" xfId="1" xr:uid="{00000000-0005-0000-0000-000002000000}"/>
    <cellStyle name="Normal 7" xfId="2" xr:uid="{00000000-0005-0000-0000-000003000000}"/>
  </cellStyles>
  <dxfs count="1876">
    <dxf>
      <alignment horizontal="left"/>
    </dxf>
    <dxf>
      <numFmt numFmtId="168" formatCode="#,##0\ ;\(#,##0\);\-\ "/>
    </dxf>
    <dxf>
      <numFmt numFmtId="4" formatCode="#,##0.00"/>
    </dxf>
    <dxf>
      <numFmt numFmtId="4" formatCode="#,##0.00"/>
    </dxf>
    <dxf>
      <numFmt numFmtId="4" formatCode="#,##0.00"/>
    </dxf>
    <dxf>
      <alignment horizontal="left"/>
    </dxf>
    <dxf>
      <alignment horizontal="left"/>
    </dxf>
    <dxf>
      <alignment horizontal="left"/>
    </dxf>
    <dxf>
      <numFmt numFmtId="3" formatCode="#,##0"/>
    </dxf>
    <dxf>
      <numFmt numFmtId="3" formatCode="#,##0"/>
    </dxf>
    <dxf>
      <numFmt numFmtId="3" formatCode="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/>
    </dxf>
    <dxf>
      <numFmt numFmtId="168" formatCode="#,##0\ ;\(#,##0\);\-\ "/>
    </dxf>
    <dxf>
      <numFmt numFmtId="4" formatCode="#,##0.00"/>
    </dxf>
    <dxf>
      <numFmt numFmtId="4" formatCode="#,##0.00"/>
    </dxf>
    <dxf>
      <numFmt numFmtId="4" formatCode="#,##0.00"/>
    </dxf>
    <dxf>
      <alignment horizontal="left"/>
    </dxf>
    <dxf>
      <alignment horizontal="left"/>
    </dxf>
    <dxf>
      <alignment horizontal="left"/>
    </dxf>
    <dxf>
      <numFmt numFmtId="3" formatCode="#,##0"/>
    </dxf>
    <dxf>
      <numFmt numFmtId="3" formatCode="#,##0"/>
    </dxf>
    <dxf>
      <numFmt numFmtId="3" formatCode="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8" formatCode="#,##0\ ;\(#,##0\);\-\ "/>
    </dxf>
    <dxf>
      <numFmt numFmtId="4" formatCode="#,##0.00"/>
    </dxf>
    <dxf>
      <numFmt numFmtId="4" formatCode="#,##0.00"/>
    </dxf>
    <dxf>
      <numFmt numFmtId="4" formatCode="#,##0.00"/>
    </dxf>
    <dxf>
      <alignment horizontal="left"/>
    </dxf>
    <dxf>
      <alignment horizontal="left"/>
    </dxf>
    <dxf>
      <alignment horizontal="left"/>
    </dxf>
    <dxf>
      <numFmt numFmtId="3" formatCode="#,##0"/>
    </dxf>
    <dxf>
      <numFmt numFmtId="3" formatCode="#,##0"/>
    </dxf>
    <dxf>
      <numFmt numFmtId="3" formatCode="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8" formatCode="#,##0\ ;\(#,##0\);\-\ "/>
    </dxf>
    <dxf>
      <numFmt numFmtId="4" formatCode="#,##0.00"/>
    </dxf>
    <dxf>
      <numFmt numFmtId="4" formatCode="#,##0.00"/>
    </dxf>
    <dxf>
      <numFmt numFmtId="4" formatCode="#,##0.00"/>
    </dxf>
    <dxf>
      <alignment horizontal="left"/>
    </dxf>
    <dxf>
      <alignment horizontal="left"/>
    </dxf>
    <dxf>
      <alignment horizontal="left"/>
    </dxf>
    <dxf>
      <numFmt numFmtId="3" formatCode="#,##0"/>
    </dxf>
    <dxf>
      <numFmt numFmtId="3" formatCode="#,##0"/>
    </dxf>
    <dxf>
      <numFmt numFmtId="3" formatCode="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8" formatCode="#,##0\ ;\(#,##0\);\-\ "/>
    </dxf>
    <dxf>
      <numFmt numFmtId="4" formatCode="#,##0.00"/>
    </dxf>
    <dxf>
      <numFmt numFmtId="4" formatCode="#,##0.00"/>
    </dxf>
    <dxf>
      <numFmt numFmtId="4" formatCode="#,##0.00"/>
    </dxf>
    <dxf>
      <alignment horizontal="left"/>
    </dxf>
    <dxf>
      <alignment horizontal="left"/>
    </dxf>
    <dxf>
      <alignment horizontal="left"/>
    </dxf>
    <dxf>
      <numFmt numFmtId="3" formatCode="#,##0"/>
    </dxf>
    <dxf>
      <numFmt numFmtId="3" formatCode="#,##0"/>
    </dxf>
    <dxf>
      <numFmt numFmtId="3" formatCode="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8" formatCode="#,##0\ ;\(#,##0\);\-\ "/>
    </dxf>
    <dxf>
      <numFmt numFmtId="4" formatCode="#,##0.00"/>
    </dxf>
    <dxf>
      <numFmt numFmtId="4" formatCode="#,##0.00"/>
    </dxf>
    <dxf>
      <numFmt numFmtId="4" formatCode="#,##0.00"/>
    </dxf>
    <dxf>
      <alignment horizontal="left"/>
    </dxf>
    <dxf>
      <alignment horizontal="left"/>
    </dxf>
    <dxf>
      <alignment horizontal="left"/>
    </dxf>
    <dxf>
      <numFmt numFmtId="3" formatCode="#,##0"/>
    </dxf>
    <dxf>
      <numFmt numFmtId="3" formatCode="#,##0"/>
    </dxf>
    <dxf>
      <numFmt numFmtId="3" formatCode="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font>
        <strike val="0"/>
        <outline val="0"/>
        <shadow val="0"/>
        <u val="none"/>
        <vertAlign val="baseline"/>
        <sz val="11"/>
        <name val="Calibri"/>
        <family val="2"/>
      </font>
    </dxf>
    <dxf>
      <numFmt numFmtId="168" formatCode="#,##0\ ;\(#,##0\);\-\ "/>
    </dxf>
    <dxf>
      <numFmt numFmtId="168" formatCode="#,##0\ ;\(#,##0\);\-\ 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3" formatCode="#,##0"/>
    </dxf>
    <dxf>
      <numFmt numFmtId="3" formatCode="#,##0"/>
    </dxf>
    <dxf>
      <numFmt numFmtId="3" formatCode="#,##0"/>
    </dxf>
    <dxf>
      <alignment horizontal="left"/>
    </dxf>
    <dxf>
      <alignment horizontal="left"/>
    </dxf>
    <dxf>
      <alignment horizontal="left"/>
    </dxf>
    <dxf>
      <numFmt numFmtId="4" formatCode="#,##0.00"/>
    </dxf>
    <dxf>
      <numFmt numFmtId="4" formatCode="#,##0.00"/>
    </dxf>
    <dxf>
      <numFmt numFmtId="4" formatCode="#,##0.00"/>
    </dxf>
    <dxf>
      <numFmt numFmtId="168" formatCode="#,##0\ ;\(#,##0\);\-\ "/>
    </dxf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0.594460879627" createdVersion="8" refreshedVersion="8" minRefreshableVersion="3" recordCount="74" xr:uid="{00000000-000A-0000-FFFF-FFFF0B000000}">
  <cacheSource type="worksheet">
    <worksheetSource ref="B2:AA305" sheet="SAP Data"/>
  </cacheSource>
  <cacheFields count="26">
    <cacheField name="YTD TOTAL" numFmtId="0">
      <sharedItems containsString="0" containsBlank="1" containsNumber="1" minValue="-4082340.0100000021" maxValue="10769281.02"/>
    </cacheField>
    <cacheField name="In Copperleaf?" numFmtId="0">
      <sharedItems containsBlank="1"/>
    </cacheField>
    <cacheField name="." numFmtId="0">
      <sharedItems containsNonDate="0" containsString="0" containsBlank="1"/>
    </cacheField>
    <cacheField name="Company Code" numFmtId="0">
      <sharedItems containsBlank="1"/>
    </cacheField>
    <cacheField name="Project Definition" numFmtId="0">
      <sharedItems containsBlank="1" count="898">
        <s v="PROJECT 0280"/>
        <s v="PROJECT 0285"/>
        <s v="PROJECT 0371"/>
        <s v="PROJECT 0416"/>
        <s v="PROJECT 0417"/>
        <s v="PROJECT 0437"/>
        <s v="PROJECT 0462"/>
        <s v="PROJECT 0694"/>
        <s v="PROJECT 0915"/>
        <s v="PROJECT 1107"/>
        <m/>
        <s v="CYB/07976" u="1"/>
        <s v="GTX/00010" u="1"/>
        <s v="GTX/00066" u="1"/>
        <s v="GTX/00081" u="1"/>
        <s v="GTX/00096" u="1"/>
        <s v="GTX/00099" u="1"/>
        <s v="GTX/00213" u="1"/>
        <s v="GTX/00217" u="1"/>
        <s v="GTX/00239" u="1"/>
        <s v="GTX/00260" u="1"/>
        <s v="GTX/00262" u="1"/>
        <s v="GTX/00273" u="1"/>
        <s v="GTX/00285" u="1"/>
        <s v="GTX/00302" u="1"/>
        <s v="GTX/00337" u="1"/>
        <s v="GTX/00377" u="1"/>
        <s v="GTX/00461" u="1"/>
        <s v="GTX/00464" u="1"/>
        <s v="GTX/00497" u="1"/>
        <s v="GTX/00512" u="1"/>
        <s v="GTX/00526" u="1"/>
        <s v="GTX/00590" u="1"/>
        <s v="GTX/00623" u="1"/>
        <s v="GTX/00634" u="1"/>
        <s v="GTX/00655" u="1"/>
        <s v="GTX/00711" u="1"/>
        <s v="GTX/00737" u="1"/>
        <s v="GTX/00802" u="1"/>
        <s v="GTX/00863" u="1"/>
        <s v="GTX/00868" u="1"/>
        <s v="GTX/00951" u="1"/>
        <s v="GTX/00974" u="1"/>
        <s v="GTX/00992" u="1"/>
        <s v="GTX/01017" u="1"/>
        <s v="GTX/01021" u="1"/>
        <s v="GTX/01055" u="1"/>
        <s v="GTX/01118" u="1"/>
        <s v="GTX/01144" u="1"/>
        <s v="GTX/01145" u="1"/>
        <s v="GTX/01164" u="1"/>
        <s v="GTX/01180" u="1"/>
        <s v="GTX/01249" u="1"/>
        <s v="GTX/01276" u="1"/>
        <s v="GTX/01286" u="1"/>
        <s v="GTX/01288" u="1"/>
        <s v="GTX/01292" u="1"/>
        <s v="GTX/01296" u="1"/>
        <s v="GTX/01383" u="1"/>
        <s v="GTX/01406" u="1"/>
        <s v="GTX/01576" u="1"/>
        <s v="GTX/01602" u="1"/>
        <s v="GTX/01644" u="1"/>
        <s v="GTX/01645" u="1"/>
        <s v="GTX/01648" u="1"/>
        <s v="GTX/01703" u="1"/>
        <s v="GTX/01792" u="1"/>
        <s v="GTX/01838" u="1"/>
        <s v="GTX/01863" u="1"/>
        <s v="GTX/01865" u="1"/>
        <s v="GTX/01990" u="1"/>
        <s v="GTX/01991" u="1"/>
        <s v="GTX/02042" u="1"/>
        <s v="GTX/02049" u="1"/>
        <s v="GTX/02070" u="1"/>
        <s v="GTX/02087" u="1"/>
        <s v="GTX/02109" u="1"/>
        <s v="GTX/02135" u="1"/>
        <s v="GTX/02137" u="1"/>
        <s v="GTX/02150" u="1"/>
        <s v="GTX/02160" u="1"/>
        <s v="GTX/02161" u="1"/>
        <s v="GTX/02162" u="1"/>
        <s v="GTX/02181" u="1"/>
        <s v="GTX/02184" u="1"/>
        <s v="GTX/02185" u="1"/>
        <s v="GTX/02186" u="1"/>
        <s v="GTX/02190" u="1"/>
        <s v="GTX/02215" u="1"/>
        <s v="GTX/02217" u="1"/>
        <s v="GTX/02254" u="1"/>
        <s v="GTX/02271" u="1"/>
        <s v="GTX/02282" u="1"/>
        <s v="GTX/02283" u="1"/>
        <s v="GTX/02286" u="1"/>
        <s v="GTX/02288" u="1"/>
        <s v="GTX/02290" u="1"/>
        <s v="GTX/02291" u="1"/>
        <s v="GTX/02292" u="1"/>
        <s v="GTX/02293" u="1"/>
        <s v="GTX/02299" u="1"/>
        <s v="GTX/02303" u="1"/>
        <s v="GTX/02315" u="1"/>
        <s v="GTX/02406" u="1"/>
        <s v="GTX/02463" u="1"/>
        <s v="GTX/02477" u="1"/>
        <s v="GTX/02543" u="1"/>
        <s v="GTX/02550" u="1"/>
        <s v="GTX/02552" u="1"/>
        <s v="GTX/02557" u="1"/>
        <s v="GTX/02558" u="1"/>
        <s v="GTX/02559" u="1"/>
        <s v="GTX/02560" u="1"/>
        <s v="GTX/02567" u="1"/>
        <s v="GTX/02679" u="1"/>
        <s v="GTX/02772" u="1"/>
        <s v="GTX/02776" u="1"/>
        <s v="GTX/02875" u="1"/>
        <s v="GTX/02876" u="1"/>
        <s v="GTX/02885" u="1"/>
        <s v="GTX/02895" u="1"/>
        <s v="GTX/02896" u="1"/>
        <s v="GTX/02950" u="1"/>
        <s v="GTX/03026" u="1"/>
        <s v="GTX/03160" u="1"/>
        <s v="GTX/03231" u="1"/>
        <s v="GTX/03235" u="1"/>
        <s v="GTX/03238" u="1"/>
        <s v="GTX/03242" u="1"/>
        <s v="GTX/03249" u="1"/>
        <s v="GTX/03344" u="1"/>
        <s v="GTX/03357" u="1"/>
        <s v="GTX/03400" u="1"/>
        <s v="GTX/03459" u="1"/>
        <s v="GTX/03460" u="1"/>
        <s v="GTX/03461" u="1"/>
        <s v="GTX/03464" u="1"/>
        <s v="GTX/03465" u="1"/>
        <s v="GTX/03466" u="1"/>
        <s v="GTX/03467" u="1"/>
        <s v="GTX/03468" u="1"/>
        <s v="GTX/03511" u="1"/>
        <s v="GTX/03525" u="1"/>
        <s v="GTX/03604" u="1"/>
        <s v="GTX/03690" u="1"/>
        <s v="GTX/03691" u="1"/>
        <s v="GTX/03692" u="1"/>
        <s v="GTX/03693" u="1"/>
        <s v="GTX/03695" u="1"/>
        <s v="GTX/03696" u="1"/>
        <s v="GTX/03699" u="1"/>
        <s v="GTX/03700" u="1"/>
        <s v="GTX/03708" u="1"/>
        <s v="GTX/03709" u="1"/>
        <s v="GTX/03728" u="1"/>
        <s v="GTX/03808" u="1"/>
        <s v="GTX/03816" u="1"/>
        <s v="GTX/03817" u="1"/>
        <s v="GTX/03846" u="1"/>
        <s v="GTX/03848" u="1"/>
        <s v="GTX/03850" u="1"/>
        <s v="GTX/03880" u="1"/>
        <s v="GTX/03924" u="1"/>
        <s v="GTX/03933" u="1"/>
        <s v="GTX/03936" u="1"/>
        <s v="GTX/03941" u="1"/>
        <s v="GTX/03942" u="1"/>
        <s v="GTX/03943" u="1"/>
        <s v="GTX/03945" u="1"/>
        <s v="GTX/03948" u="1"/>
        <s v="GTX/03949" u="1"/>
        <s v="GTX/03952" u="1"/>
        <s v="GTX/03954" u="1"/>
        <s v="GTX/03956" u="1"/>
        <s v="GTX/03957" u="1"/>
        <s v="GTX/03958" u="1"/>
        <s v="GTX/03960" u="1"/>
        <s v="GTX/03990" u="1"/>
        <s v="GTX/04103" u="1"/>
        <s v="GTX/04106" u="1"/>
        <s v="GTX/04159" u="1"/>
        <s v="GTX/04222" u="1"/>
        <s v="GTX/04245" u="1"/>
        <s v="GTX/04275" u="1"/>
        <s v="GTX/04343" u="1"/>
        <s v="GTX/04344" u="1"/>
        <s v="GTX/04347" u="1"/>
        <s v="GTX/04349" u="1"/>
        <s v="GTX/04350" u="1"/>
        <s v="GTX/04352" u="1"/>
        <s v="GTX/04359" u="1"/>
        <s v="GTX/04513" u="1"/>
        <s v="GTX/04615" u="1"/>
        <s v="GTX/04616" u="1"/>
        <s v="GTX/04617" u="1"/>
        <s v="GTX/04661" u="1"/>
        <s v="GTX/04708" u="1"/>
        <s v="GTX/04939" u="1"/>
        <s v="GTX/04959" u="1"/>
        <s v="GTX/04985" u="1"/>
        <s v="GTX/04988" u="1"/>
        <s v="GTX/05013" u="1"/>
        <s v="GTX/05029" u="1"/>
        <s v="GTX/05036" u="1"/>
        <s v="GTX/05037" u="1"/>
        <s v="GTX/05051" u="1"/>
        <s v="GTX/05060" u="1"/>
        <s v="GTX/05089" u="1"/>
        <s v="GTX/05099" u="1"/>
        <s v="GTX/05200" u="1"/>
        <s v="GTX/05225" u="1"/>
        <s v="GTX/05231" u="1"/>
        <s v="GTX/05240" u="1"/>
        <s v="GTX/05242" u="1"/>
        <s v="GTX/05249" u="1"/>
        <s v="GTX/05253" u="1"/>
        <s v="GTX/05255" u="1"/>
        <s v="GTX/05261" u="1"/>
        <s v="GTX/05262" u="1"/>
        <s v="GTX/05263" u="1"/>
        <s v="GTX/05264" u="1"/>
        <s v="GTX/05265" u="1"/>
        <s v="GTX/05266" u="1"/>
        <s v="GTX/05282" u="1"/>
        <s v="GTX/05315" u="1"/>
        <s v="GTX/05316" u="1"/>
        <s v="GTX/05333" u="1"/>
        <s v="GTX/05391" u="1"/>
        <s v="GTX/05397" u="1"/>
        <s v="GTX/05398" u="1"/>
        <s v="GTX/05407" u="1"/>
        <s v="GTX/05442" u="1"/>
        <s v="GTX/05461" u="1"/>
        <s v="GTX/05489" u="1"/>
        <s v="GTX/05490" u="1"/>
        <s v="GTX/05563" u="1"/>
        <s v="GTX/05564" u="1"/>
        <s v="GTX/05572" u="1"/>
        <s v="GTX/05595" u="1"/>
        <s v="GTX/05622" u="1"/>
        <s v="GTX/05705" u="1"/>
        <s v="GTX/05714" u="1"/>
        <s v="GTX/05814" u="1"/>
        <s v="GTX/05815" u="1"/>
        <s v="GTX/05817" u="1"/>
        <s v="GTX/05826" u="1"/>
        <s v="GTX/05827" u="1"/>
        <s v="GTX/05847" u="1"/>
        <s v="GTX/05851" u="1"/>
        <s v="GTX/05852" u="1"/>
        <s v="GTX/05855" u="1"/>
        <s v="GTX/05856" u="1"/>
        <s v="GTX/05857" u="1"/>
        <s v="GTX/05859" u="1"/>
        <s v="GTX/05955" u="1"/>
        <s v="GTX/05983" u="1"/>
        <s v="GTX/05987" u="1"/>
        <s v="GTX/05988" u="1"/>
        <s v="GTX/05989" u="1"/>
        <s v="GTX/06018" u="1"/>
        <s v="GTX/06175" u="1"/>
        <s v="GTX/06220" u="1"/>
        <s v="GTX/06222" u="1"/>
        <s v="GTX/06228" u="1"/>
        <s v="GTX/06229" u="1"/>
        <s v="GTX/06231" u="1"/>
        <s v="GTX/06232" u="1"/>
        <s v="GTX/06234" u="1"/>
        <s v="GTX/06236" u="1"/>
        <s v="GTX/06237" u="1"/>
        <s v="GTX/06274" u="1"/>
        <s v="GTX/06280" u="1"/>
        <s v="GTX/06311" u="1"/>
        <s v="GTX/06312" u="1"/>
        <s v="GTX/06318" u="1"/>
        <s v="GTX/06379" u="1"/>
        <s v="GTX/06402" u="1"/>
        <s v="GTX/06470" u="1"/>
        <s v="GTX/06471" u="1"/>
        <s v="GTX/06476" u="1"/>
        <s v="GTX/06521" u="1"/>
        <s v="GTX/06522" u="1"/>
        <s v="GTX/06523" u="1"/>
        <s v="GTX/06544" u="1"/>
        <s v="GTX/06558" u="1"/>
        <s v="GTX/06576" u="1"/>
        <s v="GTX/06580" u="1"/>
        <s v="GTX/06581" u="1"/>
        <s v="GTX/06583" u="1"/>
        <s v="GTX/06594" u="1"/>
        <s v="GTX/06596" u="1"/>
        <s v="GTX/06600" u="1"/>
        <s v="GTX/06602" u="1"/>
        <s v="GTX/06603" u="1"/>
        <s v="GTX/06615" u="1"/>
        <s v="GTX/06616" u="1"/>
        <s v="GTX/06617" u="1"/>
        <s v="GTX/06618" u="1"/>
        <s v="GTX/06619" u="1"/>
        <s v="GTX/06620" u="1"/>
        <s v="GTX/06625" u="1"/>
        <s v="GTX/06626" u="1"/>
        <s v="GTX/06639" u="1"/>
        <s v="GTX/06640" u="1"/>
        <s v="GTX/06641" u="1"/>
        <s v="GTX/06642" u="1"/>
        <s v="GTX/06643" u="1"/>
        <s v="GTX/06644" u="1"/>
        <s v="GTX/06645" u="1"/>
        <s v="GTX/06646" u="1"/>
        <s v="GTX/06647" u="1"/>
        <s v="GTX/06648" u="1"/>
        <s v="GTX/06649" u="1"/>
        <s v="GTX/06650" u="1"/>
        <s v="GTX/06651" u="1"/>
        <s v="GTX/06652" u="1"/>
        <s v="GTX/06653" u="1"/>
        <s v="GTX/06654" u="1"/>
        <s v="GTX/06655" u="1"/>
        <s v="GTX/06656" u="1"/>
        <s v="GTX/06657" u="1"/>
        <s v="GTX/06658" u="1"/>
        <s v="GTX/06659" u="1"/>
        <s v="GTX/06660" u="1"/>
        <s v="GTX/06661" u="1"/>
        <s v="GTX/06662" u="1"/>
        <s v="GTX/06663" u="1"/>
        <s v="GTX/06664" u="1"/>
        <s v="GTX/06665" u="1"/>
        <s v="GTX/06666" u="1"/>
        <s v="GTX/06667" u="1"/>
        <s v="GTX/06668" u="1"/>
        <s v="GTX/06669" u="1"/>
        <s v="GTX/06670" u="1"/>
        <s v="GTX/06676" u="1"/>
        <s v="GTX/06687" u="1"/>
        <s v="GTX/06688" u="1"/>
        <s v="GTX/06714" u="1"/>
        <s v="GTX/06719" u="1"/>
        <s v="GTX/06720" u="1"/>
        <s v="GTX/06722" u="1"/>
        <s v="GTX/06724" u="1"/>
        <s v="GTX/06725" u="1"/>
        <s v="GTX/06727" u="1"/>
        <s v="GTX/06732" u="1"/>
        <s v="GTX/06737" u="1"/>
        <s v="GTX/06745" u="1"/>
        <s v="GTX/06757" u="1"/>
        <s v="GTX/06760" u="1"/>
        <s v="GTX/06763" u="1"/>
        <s v="GTX/06774" u="1"/>
        <s v="GTX/06786" u="1"/>
        <s v="GTX/06799" u="1"/>
        <s v="GTX/06845" u="1"/>
        <s v="GTX/06848" u="1"/>
        <s v="GTX/06849" u="1"/>
        <s v="GTX/06850" u="1"/>
        <s v="GTX/06851" u="1"/>
        <s v="GTX/06852" u="1"/>
        <s v="GTX/06853" u="1"/>
        <s v="GTX/06856" u="1"/>
        <s v="GTX/06857" u="1"/>
        <s v="GTX/06889" u="1"/>
        <s v="GTX/06890" u="1"/>
        <s v="GTX/06891" u="1"/>
        <s v="GTX/06896" u="1"/>
        <s v="GTX/06897" u="1"/>
        <s v="GTX/06898" u="1"/>
        <s v="GTX/06900" u="1"/>
        <s v="GTX/06901" u="1"/>
        <s v="GTX/06902" u="1"/>
        <s v="GTX/06906" u="1"/>
        <s v="GTX/06907" u="1"/>
        <s v="GTX/06908" u="1"/>
        <s v="GTX/06909" u="1"/>
        <s v="GTX/06913" u="1"/>
        <s v="GTX/06914" u="1"/>
        <s v="GTX/06915" u="1"/>
        <s v="GTX/06933" u="1"/>
        <s v="GTX/06934" u="1"/>
        <s v="GTX/06942" u="1"/>
        <s v="GTX/06949" u="1"/>
        <s v="GTX/06950" u="1"/>
        <s v="GTX/06951" u="1"/>
        <s v="GTX/06952" u="1"/>
        <s v="GTX/06953" u="1"/>
        <s v="GTX/06954" u="1"/>
        <s v="GTX/06955" u="1"/>
        <s v="GTX/06956" u="1"/>
        <s v="GTX/06957" u="1"/>
        <s v="GTX/06958" u="1"/>
        <s v="GTX/06959" u="1"/>
        <s v="GTX/06970" u="1"/>
        <s v="GTX/06971" u="1"/>
        <s v="GTX/06996" u="1"/>
        <s v="GTX/07003" u="1"/>
        <s v="GTX/07008" u="1"/>
        <s v="GTX/07009" u="1"/>
        <s v="GTX/07010" u="1"/>
        <s v="GTX/07019" u="1"/>
        <s v="GTX/07029" u="1"/>
        <s v="GTX/07034" u="1"/>
        <s v="GTX/07044" u="1"/>
        <s v="GTX/07048" u="1"/>
        <s v="GTX/07049" u="1"/>
        <s v="GTX/07051" u="1"/>
        <s v="GTX/07052" u="1"/>
        <s v="GTX/07063" u="1"/>
        <s v="GTX/07067" u="1"/>
        <s v="GTX/07068" u="1"/>
        <s v="GTX/07070" u="1"/>
        <s v="GTX/07080" u="1"/>
        <s v="GTX/07104" u="1"/>
        <s v="GTX/07116" u="1"/>
        <s v="GTX/07162" u="1"/>
        <s v="GTX/07163" u="1"/>
        <s v="GTX/07167" u="1"/>
        <s v="GTX/07171" u="1"/>
        <s v="GTX/07191" u="1"/>
        <s v="GTX/07194" u="1"/>
        <s v="GTX/07198" u="1"/>
        <s v="GTX/07200" u="1"/>
        <s v="GTX/07206" u="1"/>
        <s v="GTX/07207" u="1"/>
        <s v="GTX/07208" u="1"/>
        <s v="GTX/07210" u="1"/>
        <s v="GTX/07214" u="1"/>
        <s v="GTX/07231" u="1"/>
        <s v="GTX/07242" u="1"/>
        <s v="GTX/07243" u="1"/>
        <s v="GTX/07244" u="1"/>
        <s v="GTX/07245" u="1"/>
        <s v="GTX/07246" u="1"/>
        <s v="GTX/07253" u="1"/>
        <s v="GTX/07254" u="1"/>
        <s v="GTX/07255" u="1"/>
        <s v="GTX/07256" u="1"/>
        <s v="GTX/07257" u="1"/>
        <s v="GTX/07259" u="1"/>
        <s v="GTX/07292" u="1"/>
        <s v="GTX/07380" u="1"/>
        <s v="GTX/07381" u="1"/>
        <s v="GTX/07382" u="1"/>
        <s v="GTX/07391" u="1"/>
        <s v="GTX/07396" u="1"/>
        <s v="GTX/07401" u="1"/>
        <s v="GTX/07410" u="1"/>
        <s v="GTX/07421" u="1"/>
        <s v="GTX/07426" u="1"/>
        <s v="GTX/07444" u="1"/>
        <s v="GTX/07445" u="1"/>
        <s v="GTX/07447" u="1"/>
        <s v="GTX/07450" u="1"/>
        <s v="GTX/07454" u="1"/>
        <s v="GTX/07455" u="1"/>
        <s v="GTX/07457" u="1"/>
        <s v="GTX/07557" u="1"/>
        <s v="GTX/07558" u="1"/>
        <s v="GTX/07559" u="1"/>
        <s v="GTX/07573" u="1"/>
        <s v="GTX/07575" u="1"/>
        <s v="GTX/07576" u="1"/>
        <s v="GTX/07577" u="1"/>
        <s v="GTX/07578" u="1"/>
        <s v="GTX/07602" u="1"/>
        <s v="GTX/07628" u="1"/>
        <s v="GTX/07629" u="1"/>
        <s v="GTX/07652" u="1"/>
        <s v="GTX/07662" u="1"/>
        <s v="GTX/07663" u="1"/>
        <s v="GTX/07664" u="1"/>
        <s v="GTX/07669" u="1"/>
        <s v="GTX/07671" u="1"/>
        <s v="GTX/07674" u="1"/>
        <s v="GTX/07696" u="1"/>
        <s v="GTX/07703" u="1"/>
        <s v="GTX/07709" u="1"/>
        <s v="GTX/07718" u="1"/>
        <s v="GTX/07727" u="1"/>
        <s v="GTX/07728" u="1"/>
        <s v="GTX/07739" u="1"/>
        <s v="GTX/07742" u="1"/>
        <s v="GTX/07752" u="1"/>
        <s v="GTX/07755" u="1"/>
        <s v="GTX/07756" u="1"/>
        <s v="GTX/07757" u="1"/>
        <s v="GTX/07760" u="1"/>
        <s v="GTX/07761" u="1"/>
        <s v="GTX/07762" u="1"/>
        <s v="GTX/07763" u="1"/>
        <s v="GTX/07778" u="1"/>
        <s v="GTX/07779" u="1"/>
        <s v="GTX/07780" u="1"/>
        <s v="GTX/07781" u="1"/>
        <s v="GTX/07782" u="1"/>
        <s v="GTX/07783" u="1"/>
        <s v="GTX/07784" u="1"/>
        <s v="GTX/07785" u="1"/>
        <s v="GTX/07786" u="1"/>
        <s v="GTX/07787" u="1"/>
        <s v="GTX/07788" u="1"/>
        <s v="GTX/07805" u="1"/>
        <s v="GTX/07807" u="1"/>
        <s v="GTX/07825" u="1"/>
        <s v="GTX/07828" u="1"/>
        <s v="GTX/07835" u="1"/>
        <s v="GTX/07839" u="1"/>
        <s v="GTX/07840" u="1"/>
        <s v="GTX/07841" u="1"/>
        <s v="GTX/07843" u="1"/>
        <s v="GTX/07849" u="1"/>
        <s v="GTX/07850" u="1"/>
        <s v="GTX/07851" u="1"/>
        <s v="GTX/07903" u="1"/>
        <s v="GTX/07904" u="1"/>
        <s v="GTX/07905" u="1"/>
        <s v="GTX/07906" u="1"/>
        <s v="GTX/07907" u="1"/>
        <s v="GTX/07908" u="1"/>
        <s v="GTX/07909" u="1"/>
        <s v="GTX/07910" u="1"/>
        <s v="GTX/07912" u="1"/>
        <s v="GTX/07930" u="1"/>
        <s v="GTX/07932" u="1"/>
        <s v="GTX/07935" u="1"/>
        <s v="GTX/07937" u="1"/>
        <s v="GTX/07938" u="1"/>
        <s v="GTX/07939" u="1"/>
        <s v="GTX/07940" u="1"/>
        <s v="GTX/07941" u="1"/>
        <s v="GTX/07945" u="1"/>
        <s v="GTX/07951" u="1"/>
        <s v="GTX/07953" u="1"/>
        <s v="GTX/07972" u="1"/>
        <s v="GTX/07973" u="1"/>
        <s v="GTX/07974" u="1"/>
        <s v="GTX/07975" u="1"/>
        <s v="GTX/07976" u="1"/>
        <s v="GTX/07978" u="1"/>
        <s v="GTX/07979" u="1"/>
        <s v="GTX/07980" u="1"/>
        <s v="GTX/07981" u="1"/>
        <s v="GTX/07983" u="1"/>
        <s v="GTX/07987" u="1"/>
        <s v="GTX/07990" u="1"/>
        <s v="GTX/07992" u="1"/>
        <s v="GTX/08025" u="1"/>
        <s v="GTX/08026" u="1"/>
        <s v="GTX/08027" u="1"/>
        <s v="GTX/08030" u="1"/>
        <s v="GTX/08031" u="1"/>
        <s v="GTX/08033" u="1"/>
        <s v="GTX/08034" u="1"/>
        <s v="GTX/08035" u="1"/>
        <s v="GTX/08036" u="1"/>
        <s v="GTX/08056" u="1"/>
        <s v="GTX/08057" u="1"/>
        <s v="GTX/08058" u="1"/>
        <s v="GTX/08059" u="1"/>
        <s v="GTX/08061" u="1"/>
        <s v="GTX/08064" u="1"/>
        <s v="GTX/08088" u="1"/>
        <s v="GTX/08089" u="1"/>
        <s v="GTX/08097" u="1"/>
        <s v="GTX/08098" u="1"/>
        <s v="GTX/08099" u="1"/>
        <s v="GTX/08100" u="1"/>
        <s v="GTX/08101" u="1"/>
        <s v="GTX/08113" u="1"/>
        <s v="GTX/08114" u="1"/>
        <s v="GTX/08115" u="1"/>
        <s v="GTX/08116" u="1"/>
        <s v="GTX/08118" u="1"/>
        <s v="GTX/08123" u="1"/>
        <s v="GTX/08124" u="1"/>
        <s v="GTX/08134" u="1"/>
        <s v="GTX/08137" u="1"/>
        <s v="GTX/08141" u="1"/>
        <s v="GTX/08152" u="1"/>
        <s v="GTX/08153" u="1"/>
        <s v="GTX/08154" u="1"/>
        <s v="GTX/08155" u="1"/>
        <s v="GTX/08156" u="1"/>
        <s v="GTX/08179" u="1"/>
        <s v="GTX/08180" u="1"/>
        <s v="GTX/08181" u="1"/>
        <s v="GTX/08182" u="1"/>
        <s v="GTX/08183" u="1"/>
        <s v="GTX/08184" u="1"/>
        <s v="GTX/08185" u="1"/>
        <s v="GTX/08186" u="1"/>
        <s v="GTX/08187" u="1"/>
        <s v="GTX/08188" u="1"/>
        <s v="GTX/08189" u="1"/>
        <s v="GTX/08190" u="1"/>
        <s v="GTX/08214" u="1"/>
        <s v="GTX/08219" u="1"/>
        <s v="GTX/08220" u="1"/>
        <s v="GTX/08221" u="1"/>
        <s v="GTX/08226" u="1"/>
        <s v="GTX/08253" u="1"/>
        <s v="GTX/08254" u="1"/>
        <s v="GTX/08255" u="1"/>
        <s v="GTX/08258" u="1"/>
        <s v="GTX/08259" u="1"/>
        <s v="GTX/08260" u="1"/>
        <s v="GTX/08261" u="1"/>
        <s v="GTX/08262" u="1"/>
        <s v="GTX/08264" u="1"/>
        <s v="GTX/08269" u="1"/>
        <s v="GTX/08273" u="1"/>
        <s v="GTX/08275" u="1"/>
        <s v="GTX/08276" u="1"/>
        <s v="GTX/08277" u="1"/>
        <s v="GTX/08278" u="1"/>
        <s v="GTX/08279" u="1"/>
        <s v="GTX/08280" u="1"/>
        <s v="GTX/08281" u="1"/>
        <s v="GTX/08282" u="1"/>
        <s v="GTX/08283" u="1"/>
        <s v="GTX/08284" u="1"/>
        <s v="GTX/08285" u="1"/>
        <s v="GTX/08295" u="1"/>
        <s v="GTX/08296" u="1"/>
        <s v="GTX/08298" u="1"/>
        <s v="GTX/08299" u="1"/>
        <s v="GTX/08300" u="1"/>
        <s v="GTX/08302" u="1"/>
        <s v="GTX/08303" u="1"/>
        <s v="GTX/08304" u="1"/>
        <s v="GTX/08305" u="1"/>
        <s v="GTX/08306" u="1"/>
        <s v="GTX/08307" u="1"/>
        <s v="GTX/08318" u="1"/>
        <s v="GTX/08324" u="1"/>
        <s v="GTX/08326" u="1"/>
        <s v="GTX/08328" u="1"/>
        <s v="GTX/08330" u="1"/>
        <s v="GTX/08332" u="1"/>
        <s v="GTX/08341" u="1"/>
        <s v="GTX/08351" u="1"/>
        <s v="GTX/08359" u="1"/>
        <s v="GTX/08367" u="1"/>
        <s v="GTX/08368" u="1"/>
        <s v="GTX/08369" u="1"/>
        <s v="GTX/08370" u="1"/>
        <s v="GTX/08371" u="1"/>
        <s v="GTX/08373" u="1"/>
        <s v="GTX/08374" u="1"/>
        <s v="GTX/08376" u="1"/>
        <s v="GTX/08382" u="1"/>
        <s v="GTX/08384" u="1"/>
        <s v="GTX/08386" u="1"/>
        <s v="GTX/08387" u="1"/>
        <s v="GTX/08388" u="1"/>
        <s v="GTX/08389" u="1"/>
        <s v="GTX/08393" u="1"/>
        <s v="GTX/08394" u="1"/>
        <s v="GTX/08395" u="1"/>
        <s v="GTX/08396" u="1"/>
        <s v="GTX/08438" u="1"/>
        <s v="GTX/08440" u="1"/>
        <s v="GTX/08444" u="1"/>
        <s v="GTX/08445" u="1"/>
        <s v="GTX/08446" u="1"/>
        <s v="GTX/08447" u="1"/>
        <s v="GTX/08448" u="1"/>
        <s v="GTX/08449" u="1"/>
        <s v="GTX/08450" u="1"/>
        <s v="GTX/08451" u="1"/>
        <s v="GTX/08452" u="1"/>
        <s v="GTX/08453" u="1"/>
        <s v="GTX/08454" u="1"/>
        <s v="GTX/08455" u="1"/>
        <s v="GTX/08456" u="1"/>
        <s v="GTX/08458" u="1"/>
        <s v="GTX/08459" u="1"/>
        <s v="GTX/08460" u="1"/>
        <s v="GTX/08461" u="1"/>
        <s v="GTX/08462" u="1"/>
        <s v="GTX/08463" u="1"/>
        <s v="GTX/08464" u="1"/>
        <s v="GTX/08465" u="1"/>
        <s v="GTX/08467" u="1"/>
        <s v="GTX/08476" u="1"/>
        <s v="GTX/08477" u="1"/>
        <s v="GTX/08478" u="1"/>
        <s v="GTX/08480" u="1"/>
        <s v="GTX/08481" u="1"/>
        <s v="GTX/08489" u="1"/>
        <s v="GTX/08490" u="1"/>
        <s v="GTX/08491" u="1"/>
        <s v="GTX/08492" u="1"/>
        <s v="GTX/08493" u="1"/>
        <s v="GTX/08494" u="1"/>
        <s v="GTX/08495" u="1"/>
        <s v="GTX/08496" u="1"/>
        <s v="GTX/08497" u="1"/>
        <s v="GTX/08516" u="1"/>
        <s v="GTX/08519" u="1"/>
        <s v="GTX/08520" u="1"/>
        <s v="GTX/08521" u="1"/>
        <s v="GTX/08522" u="1"/>
        <s v="GTX/08524" u="1"/>
        <s v="GTX/08525" u="1"/>
        <s v="GTX/08531" u="1"/>
        <s v="GTX/08538" u="1"/>
        <s v="GTX/08608" u="1"/>
        <s v="GTX/08611" u="1"/>
        <s v="GTX/08612" u="1"/>
        <s v="GTX/08613" u="1"/>
        <s v="GTX/08614" u="1"/>
        <s v="GTX/08615" u="1"/>
        <s v="GTX/08616" u="1"/>
        <s v="GTX/08617" u="1"/>
        <s v="GTX/08622" u="1"/>
        <s v="GTX/08633" u="1"/>
        <s v="GTX/08640" u="1"/>
        <s v="GTX/08654" u="1"/>
        <s v="GTX/08656" u="1"/>
        <s v="GTX/08694" u="1"/>
        <s v="GTX/08695" u="1"/>
        <s v="GTX/08697" u="1"/>
        <s v="GTX/08698" u="1"/>
        <s v="GTX/08699" u="1"/>
        <s v="GTX/08700" u="1"/>
        <s v="GTX/08702" u="1"/>
        <s v="GTX/08703" u="1"/>
        <s v="GTX/08704" u="1"/>
        <s v="GTX/08705" u="1"/>
        <s v="GTX/08706" u="1"/>
        <s v="GTX/08707" u="1"/>
        <s v="GTX/08709" u="1"/>
        <s v="GTX/08710" u="1"/>
        <s v="GTX/08711" u="1"/>
        <s v="GTX/08712" u="1"/>
        <s v="GTX/08713" u="1"/>
        <s v="GTX/08714" u="1"/>
        <s v="GTX/08715" u="1"/>
        <s v="GTX/08716" u="1"/>
        <s v="GTX/08717" u="1"/>
        <s v="GTX/08718" u="1"/>
        <s v="GTX/08728" u="1"/>
        <s v="GTX/08729" u="1"/>
        <s v="GTX/08730" u="1"/>
        <s v="GTX/08731" u="1"/>
        <s v="GTX/08732" u="1"/>
        <s v="GTX/08733" u="1"/>
        <s v="GTX/08736" u="1"/>
        <s v="GTX/08737" u="1"/>
        <s v="GTX/08738" u="1"/>
        <s v="GTX/08739" u="1"/>
        <s v="GTX/08740" u="1"/>
        <s v="GTX/08741" u="1"/>
        <s v="GTX/08742" u="1"/>
        <s v="GTX/08743" u="1"/>
        <s v="GTX/08744" u="1"/>
        <s v="GTX/08745" u="1"/>
        <s v="GTX/08746" u="1"/>
        <s v="GTX/08747" u="1"/>
        <s v="GTX/08748" u="1"/>
        <s v="GTX/08749" u="1"/>
        <s v="GTX/08750" u="1"/>
        <s v="GTX/08751" u="1"/>
        <s v="GTX/08752" u="1"/>
        <s v="GTX/08753" u="1"/>
        <s v="GTX/08754" u="1"/>
        <s v="GTX/08755" u="1"/>
        <s v="GTX/08756" u="1"/>
        <s v="GTX/08757" u="1"/>
        <s v="GTX/08758" u="1"/>
        <s v="GTX/08759" u="1"/>
        <s v="GTX/08761" u="1"/>
        <s v="GTX/08762" u="1"/>
        <s v="GTX/08763" u="1"/>
        <s v="GTX/08764" u="1"/>
        <s v="GTX/08765" u="1"/>
        <s v="GTX/08766" u="1"/>
        <s v="GTX/08767" u="1"/>
        <s v="GTX/08768" u="1"/>
        <s v="GTX/08769" u="1"/>
        <s v="GTX/08770" u="1"/>
        <s v="GTX/08771" u="1"/>
        <s v="GTX/08772" u="1"/>
        <s v="GTX/08787" u="1"/>
        <s v="GTX/08799" u="1"/>
        <s v="GTX/08805" u="1"/>
        <s v="GTX/08806" u="1"/>
        <s v="GTX/08807" u="1"/>
        <s v="GTX/08808" u="1"/>
        <s v="GTX/08809" u="1"/>
        <s v="GTX/08810" u="1"/>
        <s v="GTX/08811" u="1"/>
        <s v="GTX/08812" u="1"/>
        <s v="GTX/08818" u="1"/>
        <s v="GTX/08821" u="1"/>
        <s v="GTX/08822" u="1"/>
        <s v="GTX/08823" u="1"/>
        <s v="GTX/08824" u="1"/>
        <s v="GTX/08825" u="1"/>
        <s v="GTX/08826" u="1"/>
        <s v="GTX/08827" u="1"/>
        <s v="GTX/08828" u="1"/>
        <s v="GTX/08829" u="1"/>
        <s v="GTX/08830" u="1"/>
        <s v="GTX/08853" u="1"/>
        <s v="GTX/08854" u="1"/>
        <s v="GTX/08880" u="1"/>
        <s v="GTX/08881" u="1"/>
        <s v="GTX/08969" u="1"/>
        <s v="GTX/08970" u="1"/>
        <s v="GTX/08971" u="1"/>
        <s v="GTX/08998" u="1"/>
        <s v="ITD/07978" u="1"/>
        <s v="ITD/07980" u="1"/>
        <s v="ITD/07982" u="1"/>
        <s v="ITD/07984" u="1"/>
        <s v="ITD/07993" u="1"/>
        <s v="ITD/07996" u="1"/>
        <s v="ITD/08001" u="1"/>
        <s v="ITD/08028" u="1"/>
        <s v="ITD/08032" u="1"/>
        <s v="ITD/08034" u="1"/>
        <s v="ITD/08040" u="1"/>
        <s v="ITD/08062" u="1"/>
        <s v="ITD/08114" u="1"/>
        <s v="ITD/08120" u="1"/>
        <s v="ITD/08156" u="1"/>
        <s v="ITX/02516" u="1"/>
        <s v="ITX/02522" u="1"/>
        <s v="ITX/06074" u="1"/>
        <s v="ITX/06636" u="1"/>
        <s v="ITX/07438" u="1"/>
        <s v="ITX/07440" u="1"/>
        <s v="ITX/07442" u="1"/>
        <s v="ITX/07681" u="1"/>
        <s v="ITX/07698" u="1"/>
        <s v="ITX/07700" u="1"/>
        <s v="ITX/07702" u="1"/>
        <s v="ITX/07704" u="1"/>
        <s v="ITX/07706" u="1"/>
        <s v="ITX/07708" u="1"/>
        <s v="ITX/07734" u="1"/>
        <s v="ITX/07738" u="1"/>
        <s v="ITX/07746" u="1"/>
        <s v="ITX/07748" u="1"/>
        <s v="ITX/07750" u="1"/>
        <s v="ITX/07752" u="1"/>
        <s v="ITX/07754" u="1"/>
        <s v="ITX/07756" u="1"/>
        <s v="ITX/07758" u="1"/>
        <s v="ITX/07760" u="1"/>
        <s v="ITX/07806" u="1"/>
        <s v="ITX/07870" u="1"/>
        <s v="ITX/07926" u="1"/>
        <s v="ITX/07936" u="1"/>
        <s v="PRP/04224" u="1"/>
        <s v="PRP/04226" u="1"/>
        <s v="PRP/04309" u="1"/>
        <s v="PRP/04371" u="1"/>
        <s v="PRP/04374" u="1"/>
        <s v="SEC/08064" u="1"/>
        <s v="SEC/08068" u="1"/>
        <s v="SEC/08070" u="1"/>
        <s v="SEC/08098" u="1"/>
        <s v="SEC/08100" u="1"/>
        <s v="SEC/08104" u="1"/>
        <s v="SEC/08110" u="1"/>
        <s v="SEC/08146" u="1"/>
        <s v="SEC/08178" u="1"/>
        <s v="SEC/08184" u="1"/>
        <s v="ITD/08005" u="1"/>
        <s v="ITD/08007" u="1"/>
        <s v="ITD/08009" u="1"/>
        <s v="ITD/08015" u="1"/>
        <s v="ITD/08026" u="1"/>
        <s v="ITD/08036" u="1"/>
        <s v="ITD/08038" u="1"/>
        <s v="ITD/08042" u="1"/>
        <s v="ITD/08044" u="1"/>
        <s v="ITD/08046" u="1"/>
        <s v="ITD/08056" u="1"/>
        <s v="ITX/05853" u="1"/>
        <s v="ITX/06152" u="1"/>
        <s v="ITX/07124" u="1"/>
        <s v="ITX/07388" u="1"/>
        <s v="ITX/07390" u="1"/>
        <s v="ITX/07409" u="1"/>
        <s v="ITX/07712" u="1"/>
        <s v="ITX/07714" u="1"/>
        <s v="ITX/07726" u="1"/>
        <s v="ITX/07728" u="1"/>
        <s v="ITX/07730" u="1"/>
        <s v="ITX/07836" u="1"/>
        <s v="SEC/08116" u="1"/>
        <s v="SEC/08128" u="1"/>
        <s v="SEC/08134" u="1"/>
        <s v="SEC/08198" u="1"/>
      </sharedItems>
    </cacheField>
    <cacheField name="Project Definition2" numFmtId="0">
      <sharedItems containsBlank="1" count="864">
        <s v="PROJECT 1577"/>
        <s v="PROJECT 1580"/>
        <s v="PROJECT 1626"/>
        <s v="PROJECT 1575"/>
        <s v="PROJECT 1638"/>
        <s v="PROJECT 1658"/>
        <s v="PROJECT 1698"/>
        <s v="PROJECT 1659"/>
        <s v="PROJECT 1514"/>
        <s v="PROJECT 1975"/>
        <m/>
        <s v="TOM Security Investment &amp; Delivery" u="1"/>
        <s v="PAC1049935 Area Forms 2021-2022" u="1"/>
        <s v="NonOp Ops East Area 1" u="1"/>
        <s v="Minor Capital for Tools and Equipment W3" u="1"/>
        <s v="PAC1052547 T2_Metering 2023" u="1"/>
        <s v="NonOp Ops East Area 2" u="1"/>
        <s v="NonOp PMC Glasgow" u="1"/>
        <s v="NonOp Ops REGION 004 Area 3" u="1"/>
        <s v="PAC3467 Cyber Security - Comp &amp; AGI's" u="1"/>
        <s v="PAC2740R PWS Elec Protection Studies" u="1"/>
        <s v="NonOp Ops COMAH St. Fergus" u="1"/>
        <s v="PAC3813 Statera Saltholme Exit Connect" u="1"/>
        <s v="Gas Cap Interest" u="1"/>
        <s v="PAC1050684 T2 Cyber and Controls &amp; T2 GQ" u="1"/>
        <s v="PAC3000R Helsby &amp; Shellstar Ph3 AH Works" u="1"/>
        <s v="NonOp PMC Knowsley" u="1"/>
        <s v="PANNAL TO NETHER KELLET 1220MM PIPELINE" u="1"/>
        <s v="PAC1051394 AGI Rep23" u="1"/>
        <s v="NonOp Ops West Area 2" u="1"/>
        <s v="PAC1052120  T2 Cyber Telemetry Years 1 -" u="1"/>
        <s v="PAC2698 Huntingdon Compressor" u="1"/>
        <s v="NonOp Ops REGION 004 Area 1" u="1"/>
        <s v="PAC3765 Sellafield Full Connection Offer" u="1"/>
        <s v="NonOp Ops West Area 1" u="1"/>
        <s v="PAC1049999 T2 Cab Infrastrucure 2022 Del" u="1"/>
        <s v="PAC2965 Felindre VSD commissioning." u="1"/>
        <s v="NonOp Ops East Area 5" u="1"/>
        <s v="PAC1052113 Pipelines_2021_CIPSOLI4 Surve" u="1"/>
        <s v="PAC1050299 RIIO-2 Major Preheat" u="1"/>
        <s v="NonOp Ops COMAH LOCATION 09999" u="1"/>
        <s v="PAC1010731 Brigg Disconnection" u="1"/>
        <s v="NonOp Ops West Area 4" u="1"/>
        <s v="PAC3318R Peterborough PS - A2O Mod" u="1"/>
        <s v="NonOp PMC Ambergate" u="1"/>
        <s v="NonOp Ops East Area 4" u="1"/>
        <s v="PAC3319R Brigg PS - A2O Mod" u="1"/>
        <s v="PAC1052121  ILI Digs 2022" u="1"/>
        <s v="PAC3431 DSEAR Compliance Programme" u="1"/>
        <s v="NonOp Ops West Area 3" u="1"/>
        <s v="PAC1010736 Gas Quality FY23/24" u="1"/>
        <s v="PAC2697 Peterborough Compressor" u="1"/>
        <s v="NonOp Ops East Area 3" u="1"/>
        <s v="PAC2260 Feeder 9" u="1"/>
        <s v="NonOp PMC Hitchin" u="1"/>
        <s v="PAC3339R Cilfrew Boiler Project" u="1"/>
        <s v="NonOp Ops REGION 004 Area 4" u="1"/>
        <s v="PAC1049936 T2_Pipelines_2021_AC Def Rem" u="1"/>
        <s v="T2 Control Systems Year 1" u="1"/>
        <s v="Grosvenor MOC (Exit &amp; bio-methane Entry)" u="1"/>
        <s v="PAC1057056 Control System Metering Year1" u="1"/>
        <s v="T2_Cab Infrastructure_2023_Cabs 2024-202" u="1"/>
        <s v="Water Crossings" u="1"/>
        <s v="PAC1055885 ISS Asset Refresh" u="1"/>
        <s v="T2_Pipelines_CP Interventions 2023" u="1"/>
        <s v="PAC3139 JACKDAW CRAG QUARRY DIV F7 CAPEX" u="1"/>
        <s v="PAC1056145 T2 Open Source Scada" u="1"/>
        <s v="Velocys Altalto New MOC" u="1"/>
        <s v="WGN Overall Project" u="1"/>
        <s v="WGN Wormington-Honeybourne new pipeline" u="1"/>
        <s v="PAC1061387 T2 Telemetry 2022" u="1"/>
        <s v="T2 Minor Control Systems 2022" u="1"/>
        <s v="PAC1052536 - Lockerley ECI delivery" u="1"/>
        <s v="PAC1055998 T2 NARC 2024 -NEW" u="1"/>
        <s v="Gas Quality 2022" u="1"/>
        <s v="Glentham GMT Bio" u="1"/>
        <s v="GT Commercial Fleet Replacement 21/22" u="1"/>
        <s v="Reduced Depth of Cover" u="1"/>
        <s v="Nitrogen Sleeves" u="1"/>
        <s v="CP Remote Monitoring" u="1"/>
        <s v="GT Operational Del Unit Cyber Security" u="1"/>
        <s v="GT Operational Del Unit Compressors" u="1"/>
        <s v="GT Operational Del Unit P&amp;H" u="1"/>
        <s v="PAC1056139 Diss CS Replacement" u="1"/>
        <s v="PAC1062721 Avonbridge CS Replacement" u="1"/>
        <s v="PAC1062722 BishopAuckland CS Replacement" u="1"/>
        <s v="PAC1056140 Alrewas CS Replacement" u="1"/>
        <s v="Thurrock Greenfield MOC Exit Connection" u="1"/>
        <s v="Physical Security" u="1"/>
        <s v="NTS sites DSEAR REGION 004 and North area" u="1"/>
        <s v="PAC1050309 LOCATION 9001 Future Operating St" u="1"/>
        <s v="PAC3276R Hatton Stat LCP New Comp Units" u="1"/>
        <s v="PAC3487 National Electrical AH Campaign." u="1"/>
        <s v="PAC3703 Aberdeen control sys replacement" u="1"/>
        <s v="PAC1051190 Kings Lynn MCPD" u="1"/>
        <s v="PAC1010660 Millbrook Power MOC" u="1"/>
        <s v="PAC3643 LOCATION 9001 Control Syst Replcmnt" u="1"/>
        <s v="PAC3471 Progress Power MOC" u="1"/>
        <s v="PAC1049994 T2Comp21_Fel Rel WorksT1 &amp; T2" u="1"/>
        <s v="PAC3472 Hirwaun Power MOC" u="1"/>
        <s v="PAC3721 LOCATION 09999 Future Operating Strat" u="1"/>
        <s v="PAC3419 LOCATION 9001 AH Actuator Gas Ring" u="1"/>
        <s v="PAC1049931 T2_P&amp;E_2021_Cath Prot and IJ" u="1"/>
        <s v="Shotton Mill customer connection" u="1"/>
        <s v="PAC1056005 Compressor Campaign 2023-24" u="1"/>
        <s v="PAC 1056141 Hatton CS Replacement" u="1"/>
        <s v="PAC1064175 Asset Refresh Major Projects" u="1"/>
        <s v="Commercial Property Acquisitions" u="1"/>
        <s v="WGN New Pipelines Overall" u="1"/>
        <s v="NTS sites DSEAR East area" u="1"/>
        <s v="ISS Phase 3 - Barrington" u="1"/>
        <s v="ISS Phase 3 - Illchester" u="1"/>
        <s v="ISS Phase 3 - Pucklechurch" u="1"/>
        <s v="ISS Phase 3 - Aylesbeare" u="1"/>
        <s v="Methane Detection &amp; Quantification" u="1"/>
        <s v="PAC1062719 Felindre CS Replacement" u="1"/>
        <s v="PAC1062720 Wormington CS Replacement" u="1"/>
        <s v="Bluefield Connection Exit (Sandbach)" u="1"/>
        <s v="Brigg Baloo 2 modification" u="1"/>
        <s v="PSSR Inspections 2023-25" u="1"/>
        <s v="T2_RIIO-2 Major Preheat Phase 2" u="1"/>
        <s v="T2 NRVs Overhaul Campaign - PAC1064666" u="1"/>
        <s v="PAC1064792 Marker Post Replacement" u="1"/>
        <s v="PAC1049656 AGI Rep22 - Lot 2 - Pickering" u="1"/>
        <s v="PRESSURE REDUCTION AND FLOW CONTROL" u="1"/>
        <s v="PAC1051394 - AGI Rep23 - Lot 3" u="1"/>
        <s v="PAC1051394 - AGI Rep23 - Lot 6" u="1"/>
        <s v="PAC1051394- AGI Rep23-Lot 6 - West Winch" u="1"/>
        <s v="PAC1051394-AGI Rep23- Lot 7 - Farningham" u="1"/>
        <s v="PAC1064716 AGI Ref 23 - Lot 8  - Ilchest" u="1"/>
        <s v="Alfanar Exit Connection" u="1"/>
        <s v="2023 Didcot Heat Exchanger B" u="1"/>
        <s v="PAC1056137 GQ&amp;M years 4 and 5 - Gas Qual" u="1"/>
        <s v="CIPS &amp; OLI4 SURVEYS West" u="1"/>
        <s v="CIPS &amp; OLI4 SURVEYS East" u="1"/>
        <s v="CIPS &amp; OLI4 SURVEYS Scot" u="1"/>
        <s v="Asselby" u="1"/>
        <s v="Cowpen Bewley" u="1"/>
        <s v="Elton" u="1"/>
        <s v="Ganstead" u="1"/>
        <s v="Stanford Le Hope" u="1"/>
        <s v="T2 Cyber Telemetry Years 4-5" u="1"/>
        <s v="Preheat and Lube Oil Systems Refurb" u="1"/>
        <s v="LOCATION 9001 Cathodic System Replacement_T2" u="1"/>
        <s v="Asset health AGI holding account" u="1"/>
        <s v="GQMT holding account" u="1"/>
        <s v="Asset health &amp; Graid holding account" u="1"/>
        <s v="Cabs &amp; Electrical holding account" u="1"/>
        <s v="LOCATION 9001 holding account" u="1"/>
        <s v="Hatton holding account" u="1"/>
        <s v="PSUP &amp; Charge holding account" u="1"/>
        <s v="Customer Diversions holding account" u="1"/>
        <s v="T2_ AGI Refurbishment 2024" u="1"/>
        <s v="T2_ Ops AGI lite refurb &amp; actuators 2023" u="1"/>
        <s v="PAC1051189 Decom 22 - NARC Work" u="1"/>
        <s v="Customer Connections  holding account" u="1"/>
        <s v="T2_LOCATION 9001 1C, 2C &amp; 2D Decommissioning" u="1"/>
        <s v="PAC1056137 GQ&amp;M years 4 and 5" u="1"/>
        <s v="NonOp Ops West Area 5" u="1"/>
        <s v="NonOp Ops REGION 004 Area 2" u="1"/>
        <s v="NonOp Ops REGION 004 Area 5" u="1"/>
        <s v="T2 LOCATION 9001 HV Transformers Replacement" u="1"/>
        <s v="PAC1055998 - AGI Replacement 24 - Lot 1" u="1"/>
        <s v="PAC1055998-AGI Rep 24- Lot 2 - Humbleton" u="1"/>
        <s v="PAC1055998- AGI Rep-24 - Lot 2 - Ingleby" u="1"/>
        <s v="PAC1055998- AGI Rep 24 - Lot 2- Thrunton" u="1"/>
        <s v="PAC1055998- AGI Rep 24- Lot 2- Wooperton" u="1"/>
        <s v="PAC1055998 - AGI Replacement 24 - Lot 3" u="1"/>
        <s v="PAC1055998-AGI Rep 24-Lot 3 - Alrewas MJ" u="1"/>
        <s v="PAC1055998- AGI Rep 24 - Lot 3 - Wisbech" u="1"/>
        <s v="PAC1055998 - AGI Rep 24 - Lot 3 - Wryde" u="1"/>
        <s v="PAC1055998-AGI Rep 24-Lot 4-Aylesbury-MJ" u="1"/>
        <s v="PAC1055998-AGI Rep 24- Lot 4 - Braintree" u="1"/>
        <s v="PAC1055998-AGI Rep 24- Lot 4 - Chalgrove" u="1"/>
        <s v="PAC1055998- AGI Rep 24- Lot 4 - Chignall" u="1"/>
        <s v="PAC1055998- AGI Rep 24 - Lot 4 - Horndon" u="1"/>
        <s v="PAC1055998- AGI Rep 24 - Lot 4 - Roxwell" u="1"/>
        <s v="CH4RGE - Integration execution" u="1"/>
        <s v="LOCATION 09999 T2 AH - Firewater ring main" u="1"/>
        <s v="LOCATION 09999 T2 AH – Structural Integrity" u="1"/>
        <s v="PAC1064790 Cabs T3 Surveys" u="1"/>
        <s v="Cambridge SGT400 OEM Recommended Upgrade" u="1"/>
        <s v="Slapton Diversion" u="1"/>
        <s v="GRAID Connections" u="1"/>
        <s v="PRS - Whitwell Junction" u="1"/>
        <s v="PRS - Clifrew" u="1"/>
        <s v="PRS - Elton" u="1"/>
        <s v="PRS - Keadby Power Station" u="1"/>
        <s v="PRS - Kings Lynn Power Station" u="1"/>
        <s v="PRS - Diss Comp Tee" u="1"/>
        <s v="Strategic spares - Other" u="1"/>
        <s v="PAC1065069  LOCATION 09999 T2 AH - CP system" u="1"/>
        <s v="FDR 11 GRAYRIGG-SAMLESBURY" u="1"/>
        <s v="FDR 21 MAWDESLEY-WARBURTON" u="1"/>
        <s v="FDR 13 CORBRIDGE-BISHOP AUCKLAND" u="1"/>
        <s v="Carnforth Sound Attenuation and cladding" u="1"/>
        <s v="LOCATION 9001 Access platform repair campaig" u="1"/>
        <s v="CP Interventions Tranche 2 T2 2025" u="1"/>
        <s v="NK - SGT 400 instrumentation modernisati" u="1"/>
        <s v="Net Zero Teesside Power Limited - Exit" u="1"/>
        <s v="PAC1200192 T2_ AGI25_NGS" u="1"/>
        <s v="Physical Security Re-opener" u="1"/>
        <s v="AGI Replacement 24 - Felindre" u="1"/>
        <s v="AGI Replacement 24 Opportunities - Abson" u="1"/>
        <s v="AGI Replac 24 Opportunities - Sapperton" u="1"/>
        <s v="Wisbech Compressor Station Valve Refurb" u="1"/>
        <s v="ILI &amp; CIPS Digs 2025" u="1"/>
        <s v="PAC1208315 - Constr. Upgr Bathgate PRS" u="1"/>
        <s v="Manby Biomethane connection" u="1"/>
        <s v="T2_LOCATION 9001 Distribution Boards Replace" u="1"/>
        <s v="Deeside Power Station" u="1"/>
        <s v="PAC1208315 - Constr. Upgr Wooler PRS" u="1"/>
        <s v="T2_LOCATION 9001 Asbestos Remediation" u="1"/>
        <s v="T_2 LOCATION 9001 Priority Valves and PWT" u="1"/>
        <s v="Avonbridge - Unit 1A and 2A Fuel gas ven" u="1"/>
        <s v="PAC1051191 PETERBOROUGH MCPD" u="1"/>
        <s v="PAC1203855_T2_NARC_2024_RIIO2 Recompress" u="1"/>
        <s v="PAC1050295 T2_EMISSIONS_2021_WORMINGTON" u="1"/>
        <s v="PAC1203870 - T2_Kings Lynn MCPD Re-Wheel" u="1"/>
        <s v="T3_Sites_AGI_Construction" u="1"/>
        <s v="PAC1056136 T3 GQ West specific WBS" u="1"/>
        <s v="NonOp Ops East Delivery Team" u="1"/>
        <s v="NonOp Ops West Delivery Team" u="1"/>
        <s v="Wragby AD Entry / Exit Cust Connection" u="1"/>
        <s v="Sutton Bridge PS offtake - Site corrosio" u="1"/>
        <s v="T3_LOCATION 9001 Plant 2 Aftercoolers Replac" u="1"/>
        <s v="PAC1203994 T3_Sites_AGI NGS_FY27 EAST" u="1"/>
        <s v="Kings Lynn Nitrogen Generator" u="1"/>
        <s v="AGI Replacement 25 - Corbridge" u="1"/>
        <s v="AGI Replacement 25 - Audley Valve 54" u="1"/>
        <s v="AGI Replacement 25 - Stowmarket" u="1"/>
        <s v="Aldbrough new connection" u="1"/>
        <s v="PAC1204000 T3_Sites_AGI Constr_FY27 S&amp;N" u="1"/>
        <s v="T3_LOCATION 9001_Valves Lot1" u="1"/>
        <s v="PAC1204690-Project Union-East Coast" u="1"/>
        <s v="PAC1204851 Huntingdon MCPD Asset Health" u="1"/>
        <s v="PAC1204852 Wormington MCPD Asset Health" u="1"/>
        <s v="PAC1204899 - LOCKERLY" u="1"/>
        <s v="PAC1204903 T3_Pipelines_CP Rem Scot" u="1"/>
        <s v="PAC1204905 T3_Pipelines_ILIDig FY27 SCOT" u="1"/>
        <s v="Brocklesby" u="1"/>
        <s v="New Pipelines_Wormington to Honeybourne" u="1"/>
        <s v="T3_Cyber Control_Nether Kellet Compresso" u="1"/>
        <s v="T_2 STF CM4 Defects &amp; Area Painting" u="1"/>
        <s v="PAC1204915 T3 Y1-3 Metering West WBS" u="1"/>
        <s v="T3_Sites_AH_Electrical Campaign" u="1"/>
        <s v="Operations Central Overheads Holding" u="1"/>
        <s v="T3_Cyber Control_Wooler Compressor" u="1"/>
        <s v="T3_Cyber Control_Kings Lynn Compressor" u="1"/>
        <s v="RMC (Rotating Machinery Centre) - CAPEX" u="1"/>
        <s v="Sandhutton - AFP - Entry/Exit" u="1"/>
        <s v="Avonmouth - AFP - Entry/Exit" u="1"/>
        <s v="T2_LOCATION 09999 low voltage E, C &amp; I" u="1"/>
        <s v="PAC1205073- St.Fergus MCPD Asset Health" u="1"/>
        <s v="2025a Huntingdon Pig Trap (temp) 1" u="1"/>
        <s v="2025a Lochside Pig Trap (temp) 1" u="1"/>
        <s v="2025a Shell Star Filter (temp) 1" u="1"/>
        <s v="2025 Shell Star Filter (temp) 2" u="1"/>
        <s v="2025a Simprim Pig Trap (temp) 1" u="1"/>
        <s v="2025a LOCATION 9001 MJ Pig Trap (temp) 1" u="1"/>
        <s v="2025a Stallingborough HEX (temp) 2" u="1"/>
        <s v="2025a Stallingborough HEX (temp) 4" u="1"/>
        <s v="2025a Susworth Trent W Pig Trap (temp) 1" u="1"/>
        <s v="2024a Dowlais Pig Trap B" u="1"/>
        <s v="2024a Kings Lynn HEX HES2 B" u="1"/>
        <s v="2025a Peterborough PS HEX D" u="1"/>
        <s v="2025a Sellafield PS HEX" u="1"/>
        <s v="2025a Carnforth Filter F501B" u="1"/>
        <s v="PAC1052548 COMPRESSOR BREAKDOWN V2" u="1"/>
        <s v="T2_LOCATION 09999 Project Village" u="1"/>
        <s v="Goxhill to Hatton_EC" u="1"/>
        <s v="Bishop Auckland to Pannal_EC" u="1"/>
        <s v="Elvedan Biomethane Entry/Exit" u="1"/>
        <s v="T3_Pipelines_CIP Surveys EAST" u="1"/>
        <s v="T3_Pipelines_CIP Surveys SCOT" u="1"/>
        <s v="T3_Pipelines_CIP Surveys WEST" u="1"/>
        <s v="PAC1049935 AREA FORMS" u="1"/>
        <s v="ARMADALE - CM/4 Corrosion Defects" u="1"/>
        <s v="PAC1200192 T2  -  WALESBY" u="1"/>
        <s v="PAC1200192 T2  -  ABBERWICK" u="1"/>
        <s v="PAC1200192 T2  -  GUYZANCE" u="1"/>
        <s v="PAC1200192 T2  -  TRANWELL" u="1"/>
        <s v="PAC1200192 T2  -  HERBRANDSTON" u="1"/>
        <s v="PAC1200192 T2  -  WORMINGTON COMP" u="1"/>
        <s v="Spring Hangers - Cambridge Compressor" u="1"/>
        <s v="Lube Oil Tank - Kirriemuir Compressor" u="1"/>
        <s v="Acoustic Barrier - Avonbridge Compressor" u="1"/>
        <s v="FALAHILL - CM/4 Corrosion Defects" u="1"/>
        <s v="BOON - CM/4 Corrosion Defects" u="1"/>
        <s v="KIRRIEMUIR - Pipework Painting" u="1"/>
        <s v="PENICUIK - Pipework Painting" u="1"/>
        <s v="PENICUIK - CM/4 Corrosion Defects" u="1"/>
        <s v="New Pipelines ChurchoverTee_ChurchoverMJ" u="1"/>
        <s v="P&amp;E Overhead Allocations" u="1"/>
        <s v="PAC1204000 - Rhynd BV" u="1"/>
        <s v="PAC1204000 - Charlestown BV" u="1"/>
        <s v="PAC1204000 - Bathgate MJ (PPD)" u="1"/>
        <s v="PAC1204000 - Fauldhouse BV" u="1"/>
        <s v="PAC1204000 - Pettinain BV" u="1"/>
        <s v="PAC1210186 - Nether Howcleugh OT" u="1"/>
        <s v="PAC1207239 - Billericay" u="1"/>
        <s v="PAC1207239 - Braintree" u="1"/>
        <s v="PAC1207239 - Gestingthorpe" u="1"/>
        <s v="PAC1207239 - Horndon A" u="1"/>
        <s v="PAC1207239 - Lavenham" u="1"/>
        <s v="Little Barningham" u="1"/>
        <s v="Rougham" u="1"/>
        <s v="PAC1204000 - Salhouse" u="1"/>
        <s v="PAC1207239 - Stowmarket" u="1"/>
        <s v="Suffield" u="1"/>
        <s v="Thurning" u="1"/>
        <s v="PAC1207239 - Tilbury Thames North" u="1"/>
        <s v="PAC1204000 - West Winch" u="1"/>
        <s v="PAC1207240 - Abson" u="1"/>
        <s v="PAC1207240 - Dowlais" u="1"/>
        <s v="PAC1207240 - Pucklechurch" u="1"/>
        <s v="PAC1204000 - Elton MJ" u="1"/>
        <s v="PAC1210186 - Hornby BV" u="1"/>
        <s v="PAC1210186 - Yafforth MJ" u="1"/>
        <s v="PAC1204000 - Haddington PT" u="1"/>
        <s v="PAC1204000 - Simprim PT" u="1"/>
        <s v="PAC1204000 - Wooler MJ" u="1"/>
        <s v="PAC1210186 - Moffat MJ" u="1"/>
        <s v="PAC1204000 - Boreland BV" u="1"/>
        <s v="PAC1204000 - Plumpton Head PT" u="1"/>
        <s v="PAC1204000 - Bishop Auckland CS" u="1"/>
        <s v="T3_LOCATION 9001 FOSR Project Village" u="1"/>
        <s v="PAC1206670 T3_Sites_AGI_Constr_FY28 WEST" u="1"/>
        <s v="SELLAFIELD - CM/4 Corrosion Defects" u="1"/>
        <s v="PAC1204000 - Strategic Spares" u="1"/>
        <s v="PAC1206670 - Alrewas MJ Upgrades" u="1"/>
        <s v="PAC1208611 - Churchover MJ FCVs" u="1"/>
        <s v="PAC1207736 - Didcot PS Upgrades" u="1"/>
        <s v="PAC1207239 - Stallingborough PS1 &amp; PS2" u="1"/>
        <s v="PAC1208533 - Tirley PRI" u="1"/>
        <s v="PAC1208533 - Treaddow PRI" u="1"/>
        <s v="PAC1208534 - Carnforth CS Cond. Tank" u="1"/>
        <s v="PAC1208534 - Nether Kellet CS Cond. Tank" u="1"/>
        <s v="HONEYBOURNE - Pipework Painting" u="1"/>
        <s v="Grain Power Station PARCA" u="1"/>
        <s v="T3 Pipelines PIP EAST" u="1"/>
        <s v="T3_Pipelines_STOPPLE SCOT" u="1"/>
        <s v="BROXBURN - CM/4 Corrosion Defects" u="1"/>
        <s v="PAC1206671 Project Union East Coast FEED" u="1"/>
        <s v="LOCKERLEY CS - CM/4 Corrosion Defects" u="1"/>
        <s v="AUSTREY - CM/4 Corrosion Defects" u="1"/>
        <s v="CHURCHOVER TEE - CM/4 Corrosion Defects" u="1"/>
        <s v="CHURCHOVER MJ - CM/4 Corrosion Defects" u="1"/>
        <s v="COSBY - CM/4 Corrosion Defects" u="1"/>
        <s v="WORMINGTON MJ - Pipework Painting" u="1"/>
        <s v="CHURCHOVER TEE - Pipework Painting" u="1"/>
        <s v="SO Capital CAPEX Refurbishment" u="1"/>
        <s v="T2_LOCATION 09999_Filtration_FY26 - Fdr 4 ILI" u="1"/>
        <s v="T3 Pipelines SCRUB EAST" u="1"/>
        <s v="T3 Pipelines SCRUB SCOT" u="1"/>
        <s v="T3 Pipelines SCRUB WEST" u="1"/>
        <s v="T3 PIPELINES ILI RUN EAST EAPA24" u="1"/>
        <s v="T3 PIPELINES ILI RUN EAST PETH18" u="1"/>
        <s v="T3 PIPELINES ILI RUN EAST GOHA07" u="1"/>
        <s v="T3 PIPELINES ILI RUN EAST TIBL04" u="1"/>
        <s v="T3 PIPELINES ILI RUN EAST SHFA18" u="1"/>
        <s v="T3 PIPELINES ILI RUN EAST SIST09" u="1"/>
        <s v="T3 PIPELINES ILI RUN SCOT LOBI12" u="1"/>
        <s v="T3 PIPELINES ILI RUN SCOT LOGR11" u="1"/>
        <s v="T3 PIPELINES ILI RUN SCOT STAB12" u="1"/>
        <s v="T3 PIPELINES ILI RUN WEST BALU16" u="1"/>
        <s v="T3 PIPELINES ILI RUN WEST WOSA20" u="1"/>
        <s v="T3 PIPELINES ILI RUN WEST NUWI07" u="1"/>
        <s v="T3 PIPELINES ILI RUN WEST SACI14" u="1"/>
        <s v="Little Burdon - Pipework Painting" u="1"/>
        <s v="LITTLE BURDON - CM/4 Corrosion Defects" u="1"/>
        <s v="Carrsides Farm New Connection" u="1"/>
        <s v="Carnforth AGI - Pipework Painting" u="1"/>
        <s v="Carnforth CS- Pipework Painting" u="1"/>
        <s v="NETHER KELLET AGI CM/4 Corrosion Defects" u="1"/>
        <s v="Nether Kellet CS- Pipework Painting" u="1"/>
        <s v="Shotwick - Pipework Painting" u="1"/>
        <s v="Mickle Trafford - Pipework Painting" u="1"/>
        <s v="Audley - Pipework Painting" u="1"/>
        <s v="Audley CM/4 Corrosion Defects" u="1"/>
        <s v="Carnforth CS CM/4 Corrosion Defects" u="1"/>
        <s v="Shotwick CM/4 Corrosion Defects" u="1"/>
        <s v="PAC1204906 T3 SCOT PSSR Pannal PTA cut" u="1"/>
        <s v="T3_Compressor_AH_Cabs_Lot_1_West" u="1"/>
        <s v="KINGS LYNN CS" u="1"/>
        <s v="Aberdeen – Pipework – painting" u="1"/>
        <s v="PAC1207227 T3_Sites_AGI Constr_FY28 S&amp;N" u="1"/>
        <s v="PAC1204906 T3_Pipelines_PSSR EAST" u="1"/>
        <s v="PAC1204906 T3_Pipelines_PSSR West" u="1"/>
        <s v="PAC1204906 T3_Pipelines_PSSR SCOT" u="1"/>
        <s v="Huntingdon Unit C - Pipework – CM4" u="1"/>
        <s v="Auchenblae - AGI pipework - painting" u="1"/>
        <s v="Pigdon - Pipework - CM/4 Corrosion" u="1"/>
        <s v="Aberdeen MJ – pipework - painting" u="1"/>
        <s v="Tydd St. Giles – Pipework – CM4" u="1"/>
        <s v="Peterborough CS – Pipework – CM4" u="1"/>
        <s v="Cambridge PRA – Pipework – CM4" u="1"/>
        <s v="Cambridge PRA – Pipework - painting" u="1"/>
        <s v="T2_LOCATION 09999_critical valves replacement" u="1"/>
        <s v="Great Gidding biomethane connection" u="1"/>
        <s v="FETTERCAIRN - Pipework - Painting" u="1"/>
        <s v="Wisbech Nene East - Pipework - CM4" u="1"/>
        <s v="PAC1206488 - Farningham" u="1"/>
        <s v="PAC1206488 - Tatsfield" u="1"/>
        <s v="National Electrical Campaign Overall" u="1"/>
        <s v="T3_AH National Electrical Campaign West" u="1"/>
        <s v="T3 WIRP Pressure Uprating Feeder 28" u="1"/>
        <s v="Keadby North Feasibility Study" u="1"/>
        <s v="Programme" u="1"/>
        <s v="Telemetry RIIO3 Years 1-3 West" u="1"/>
        <s v="T2_LOCATION 09999_Filtration_FY26 - Fdr 5 ILI" u="1"/>
        <s v="T2_LOCATION 09999_Filtration_FY26 - Filter spare" u="1"/>
        <s v="T2_LOCATION 09999_Filtration_FY26 - temp Ppwrk" u="1"/>
        <s v="T3_LOCATION 09999_Fire &amp; Gas Detection" u="1"/>
        <s v="PAC1207476 T3_Sites_AGI Constr_FY29_EAST" u="1"/>
        <s v="PAC1204905 T3_Pipelines_ILIDig FY27 EAST" u="1"/>
        <s v="Project Union Construction - Holding Acc" u="1"/>
        <s v="PAC1208530 - Churchover MJ V10" u="1"/>
        <s v="Moffat Fdr(11) - CM/4 Corrosion Defects" u="1"/>
        <s v="Teedside BOC - Pipework Painting" u="1"/>
        <s v="Teedside BASF - Pipework Painting" u="1"/>
        <s v="DOWLAIS TO DYFFRYN CLYDACH -New CP Sys" u="1"/>
        <s v="PAC1207403 T3_Pipelines_CP Rem EAST" u="1"/>
        <s v="Feeder 2 Treaddow - Dowlais - CIPS Dig" u="1"/>
        <s v="PAC1204905 T3_Pipelines_ILI Dig EAST" u="1"/>
        <s v="MATCHING GREEN PIG TRAPB" u="1"/>
        <s v="PAC1207405 T3_CIPS_OLI4" u="1"/>
        <s v="T3 SERP Cambridge Compressor MJ Reconfig" u="1"/>
        <s v="Stuartfield - Painting" u="1"/>
        <s v="Towlaw - CM/4 Corrosion Defects" u="1"/>
        <s v="Lazonby - CM/4 Corrosion Defects" u="1"/>
        <s v="Project_Union_St_Fergus_to_Teesside_FEED" u="1"/>
        <s v="Project_Union_North_West_FEED" u="1"/>
        <s v="LOCATION 9001 Heating Restoration" u="1"/>
        <s v="Cambridge Unit A + B Pipework" u="1"/>
        <s v="Parknuek - CM4" u="1"/>
        <s v="PAC1056136 - Y3 GQ S&amp;N specific WBS" u="1"/>
        <s v="PAC1204915 T3 Y1-3 Metering East WBS" u="1"/>
        <s v="T3 Overheads Holding Code _x0009_" u="1"/>
        <s v="Auchnagatt - CM4 Corrosion Defects" u="1"/>
        <s v="Woodlands - CM4 Corrosion Defect" u="1"/>
        <s v="Burnhervie - CM4 Corrosion Defect" u="1"/>
        <s v="Kirkstead - CM4" u="1"/>
        <s v="PAC1207241 Stockland" u="1"/>
        <s v="PAC1207241 Ilchester" u="1"/>
        <s v="FY27 - EA04BAWI - Defect" u="1"/>
        <s v="FY27 - EM09BRST - Defect" u="1"/>
        <s v="FY27 - EM22HAPE - Defect" u="1"/>
        <s v="FY27 - EA26HUST - Defect" u="1"/>
        <s v="FY27 - SE18ISGR - Defect" u="1"/>
        <s v="PAC1207242 Watermeetings" u="1"/>
        <s v="PAC1067022 - T3 Control System Carnforth" u="1"/>
        <s v="T3 Control System Churchover Compressor" u="1"/>
        <s v="T3_Pipelines_Nitr.Sleeves Minor Rem West" u="1"/>
        <s v="PAC1208236 T3_PSUP Temp. Fencing West" u="1"/>
        <s v="PAC1208239 T3_PSUP Physical Sec. West" u="1"/>
        <s v="PAC1208238 Asset Refresh Nether Kellet" u="1"/>
        <s v="PAC1204899 - ALREWAS" u="1"/>
        <s v="PAC1204899 - CARNFORTH" u="1"/>
        <s v="PAC1204899 - NETHER KELLET" u="1"/>
        <s v="PAC1204900 - ALREWAS" u="1"/>
        <s v="PAC1208324 - NETHER KELLET" u="1"/>
        <s v="PAC1208318 T3 Pipelines Protection West" u="1"/>
        <s v="RIIO3 TELEMETRY - EAST" u="1"/>
        <s v="Aerial Marker Post Replacement - FY27" u="1"/>
        <s v="PAC1208321 T3 Pipelines SCRUB West" u="1"/>
        <s v="T3 WIRP Felindre Vent Stack Replacement" u="1"/>
        <s v="PAC1208377 T3_AGI FY29 Tranche 2 WEST" u="1"/>
        <s v="PAC1207242 Auchtermuchty" u="1"/>
        <s v="Peterborough Tee CM/4 Corrosion Defect" u="1"/>
        <s v="Austrey AGI Painting" u="1"/>
        <s v="Chelmsford Vent Stack CM4 Corrosion" u="1"/>
        <s v="Chelmsford Unit A + B Pits CM4 Corrosion" u="1"/>
        <s v="Medway PS CM4 Corrosion Defect" u="1"/>
        <s v="New Wimpole CM4 Corrosion Defect" u="1"/>
        <s v="New Wimpole Painting" u="1"/>
        <s v="PAC1207242 Garvald" u="1"/>
        <s v="PAC1207242 Milnathort" u="1"/>
        <s v="PAC1207242 AVONBRIDGE COMPRESSOR STATION" u="1"/>
        <s v="PAC1207242 KIRRIEMUIR COMPRESSOR STATION" u="1"/>
        <s v="PAC1207242 Longfermacus" u="1"/>
        <s v="PAC1207242 Polwarth" u="1"/>
        <s v="PAC1207242 Bishop Auckland" u="1"/>
        <s v="PAC1207242 Bathgate PPD" u="1"/>
        <s v="PAC1207242 Blackness" u="1"/>
        <s v="PAC1207242 Pitscottie" u="1"/>
        <s v="PAC1207242 Monifieth" u="1"/>
        <s v="Project Union Portfolio Costs_x0009_" u="1"/>
        <s v="Kirriemuir CM4 Corrosion" u="1"/>
        <s v="PAC1207227 T3 Marykirk" u="1"/>
        <s v="PAC1207227 T3 Stuartfield" u="1"/>
        <s v="PAC1207227 T3 Tayport" u="1"/>
        <s v="PAC1207227 T3 Brandon" u="1"/>
        <s v="PAC1207227 T3 Lanchester" u="1"/>
        <s v="PAC1207227 T3 Muggleswick" u="1"/>
        <s v="PAC1207227 T3 Ovington" u="1"/>
        <s v="PAC1207227 T3 Inverurie" u="1"/>
        <s v="PAC1207227 T3 Tarves" u="1"/>
        <s v="PAC1207227 T3 Kinknockie" u="1"/>
        <s v="East Capex Holding Account_x0009_" u="1"/>
        <s v="East EC&amp;I Holding Account_x0009_" u="1"/>
        <s v="East M&amp;C Holding Account_x0009_" u="1"/>
        <s v="S&amp;N Capex Holding Account_x0009_" u="1"/>
        <s v="S&amp;N 1 Capex Holding - Comp,Elec,GQMT,Sec" u="1"/>
        <s v="S&amp;N 2 Capex Holding - Pipes &amp; AGI" u="1"/>
        <s v="West Capex Holding Account" u="1"/>
        <s v="West EC&amp;I Holding Account_x0009_" u="1"/>
        <s v="WIRP Holding Account_x0009_" u="1"/>
        <s v="PAC1207242 Civil FY27 Crook" u="1"/>
        <s v="PAC1207242 Falahill" u="1"/>
        <s v="PAC1207242 Civil FY27 Roberton" u="1"/>
        <s v="PAC1207242 Crookham" u="1"/>
        <s v="PAC1207242 Civils FY27 Rickarton" u="1"/>
        <s v="PAC1207242 Civils Marykirk" u="1"/>
        <s v="PAC1207242 Civils FY27 Fourdoun" u="1"/>
        <s v="PAC1207242 Civils FY27 Muirskie" u="1"/>
        <s v="PAC1204904 CIPS Surv Boon - Coldstream" u="1"/>
        <s v="PAC1204904 ILI RUN - Longtown to Grayrig" u="1"/>
        <s v="PAC1204904 ILI RUN - Aberdeen to Arbroat" u="1"/>
        <s v="PAC1204903 Grouting Project 1" u="1"/>
        <s v="PAC1204903 Grouting Project 02" u="1"/>
        <s v="PAC1204903 Grouting Project 03" u="1"/>
        <s v="PAC1204903 Grouting Project 04" u="1"/>
        <s v="PAC1204903 Grouting Project 05" u="1"/>
        <s v="PAC1204903 Grouting Project 07" u="1"/>
        <s v="PAC1204903 Grouting Project 08" u="1"/>
        <s v="PAC1204903 N2 sleeves Minor remediation" u="1"/>
        <s v="PAC1204903 RDOC Coldstream - Thrunton" u="1"/>
        <s v="PAC1204903 RDOC Colds-Thrunt 223349" u="1"/>
        <s v="PAC1204905 BALO11 ILI  Dig 3  - FY27" u="1"/>
        <s v="PAC1204905 BALO11 ILI  Dig 6  - FY27" u="1"/>
        <s v="PAC1204905 BALO12 ILI  Dig 2  - FY27" u="1"/>
        <s v="PAC1204905  KIBA12 ILI  Dig 7  - FY27" u="1"/>
        <s v="PAC1204906 PSSR PT-A GRAYRIGG" u="1"/>
        <s v="PAC1204906 PSSR PT-A PLUMPTON HEAD" u="1"/>
        <s v="PAC1204906 PSSR PT-A GLENMAIVIS" u="1"/>
        <s v="PAC1204906 PSSR PT-A YAFFORTH" u="1"/>
        <s v="PAC1204906 PSSR PT-C ABERDEEN MJ" u="1"/>
        <s v="PAC1204906 PSSR PT-A SIMPRIM" u="1"/>
        <s v="PAC1204906 PSSR PT-B SIMPRIM" u="1"/>
        <s v="TP MEDWAY POWER" u="1"/>
        <s v="PAC1207241 Holford" u="1"/>
        <s v="PAC1207241 Dolphinholme" u="1"/>
        <s v="PAC1207241 Bridge Farm" u="1"/>
        <s v="PAC1207241 Easton Grey" u="1"/>
        <s v="WHPE03 - Nitrogen Sleeve - 7424" u="1"/>
        <s v="E1_Aerial Markers" u="1"/>
        <s v="E4_Pigtrap Major" u="1"/>
        <s v="E5_Pigtrap Major" u="1"/>
        <s v="E1_TR's" u="1"/>
        <s v="E2_TR's" u="1"/>
        <s v="E3_TR's" u="1"/>
        <s v="E4_Tr's" u="1"/>
        <s v="E1_Test_Posts" u="1"/>
        <s v="E2_Test_Posts" u="1"/>
        <s v="E3_Test Posts" u="1"/>
        <s v="E4_Test_Posts" u="1"/>
        <s v="E5_Test_Posts" u="1"/>
        <s v="E1_Valve_Replacement" u="1"/>
        <s v="E2_Valve_Replacement" u="1"/>
        <s v="Stallingborough PS1" u="1"/>
        <s v="AC GRAVESEND THAMES SOUTH" u="1"/>
        <s v="Major Programmes holding account_x0009_" u="1"/>
        <s v="CAMBRIDGE COMPRESSOR STATION" u="1"/>
        <s v="CHELMSFORD COMPRESSOR STATION" u="1"/>
        <s v="DISS COMPRESSOR STATION" u="1"/>
        <s v="HATTON COMPRESSOR STATION" u="1"/>
        <s v="KINGS LYNN COMPRESSOR STATION" u="1"/>
        <s v="TF EASTOFT" u="1"/>
        <s v="TF ALDBROUGH" u="1"/>
        <s v="TF BILLERICAY" u="1"/>
        <s v="TF BRAINTREE" u="1"/>
        <s v="PSUP_ISS_FY27_East" u="1"/>
        <s v="TF FAIRSTEAD" u="1"/>
        <s v="TF GESTINGTHORPE" u="1"/>
        <s v="TF LAVENHAM" u="1"/>
        <s v="TF MORNINGTHORPE" u="1"/>
        <s v="TF ROYSTON" u="1"/>
        <s v="TF SALHOUSE" u="1"/>
        <s v="TF STOWMARKET" u="1"/>
        <s v="Capex Holding Code - West Director_x0009_" u="1"/>
        <s v="Capex Holding Code - West Planning &amp; Per" u="1"/>
        <s v="Capex Holding Code - West Delivery Engin" u="1"/>
        <s v="Capex Holding Code-West Supply Chain&amp;Com" u="1"/>
        <s v="Capex Holding Code - West Delivery Eng 2" u="1"/>
        <s v="Capex Holding Code - West Delivery Eng 3" u="1"/>
        <s v="Capex Holding Code - West Planning&amp;Per 2" u="1"/>
        <s v="SQA - West" u="1"/>
        <s v="SQA - North and REGION 004" u="1"/>
        <s v="SQA - East" u="1"/>
        <s v="SQA - Central" u="1"/>
        <s v="SQA - Major Programmes" u="1"/>
        <s v="T3_S&amp;N_Bill&amp;Pick_GQMT_FY27 (BILL)" u="1"/>
        <s v="T3_S&amp;N_ABZMJ_(PR_VS_&amp;_PTR_PSSR_In)Y27" u="1"/>
        <s v="T3_S&amp;N_Teeside_GQMT_FY28" u="1"/>
        <s v="BARROW T3 Electrical" u="1"/>
        <s v="CHALGROVE T3 Electrical" u="1"/>
        <s v="CHURCHOVER COMP TEE T3 Electrical" u="1"/>
        <s v="CHURCHOVER MULTIJUNCTION T3 Electrical" u="1"/>
        <s v="HELSBY T3 Electrical" u="1"/>
        <s v="MICHELMERSH T3 Electrical" u="1"/>
        <s v="NUFFIELD T3 Electrical" u="1"/>
        <s v="PICKMERE T3 Electrical" u="1"/>
        <s v="SLAPTON T3 Electrical" u="1"/>
        <s v="SHOCKLACH T3 Electrical" u="1"/>
        <s v="ABSON T3 Electrical" u="1"/>
        <s v="ALREWAS COMPRESSOR STATION - Cabs T3" u="1"/>
        <s v="NETHER KELLET COMP STATION - T3 Cabs" u="1"/>
        <s v="Lupton T3 Gas Quality" u="1"/>
        <s v="Audley - T3 Gas Quality" u="1"/>
        <s v="WARBURTON - T3 Gas Quality" u="1"/>
        <s v="HOLFORD Telemetry RIIO3 West" u="1"/>
        <s v="ELWORTH Telemetry RIIO3 West" u="1"/>
        <s v="HOLLINSGRE Telemetry RIIO3  West" u="1"/>
        <s v="ILCHESTER Telemetry RIIO3 Years West" u="1"/>
        <s v="LOWER QUINTON Telemetry RIIO3 West" u="1"/>
        <s v="OTTERY ST. MARY Telemetry RIIO3 West" u="1"/>
        <s v="BARROW TO LUPTON - New CP System" u="1"/>
        <s v="REGION 004 &amp; North Director - Capex" u="1"/>
        <s v="Planning &amp; Performance - S&amp;N - Capex" u="1"/>
        <s v="Delivery Engineering - S&amp;N - Capex" u="1"/>
        <s v="Supply Chain &amp; Commercial - S&amp;N - Capex" u="1"/>
        <s v="Head of Delivery - S&amp;N - Capex" u="1"/>
        <s v="NT4329_Longtown_MJ" u="1"/>
        <s v="Head of Delivery - LOCATION 9001&amp;SN1 - Capex" u="1"/>
        <s v="Senior Project Manager-LOCATION 9001 - Capex" u="1"/>
        <s v="CABS ST FERG ROOF INSTALLATION 27" u="1"/>
        <s v="Eastoft" u="1"/>
        <s v="Medway Power Station" u="1"/>
        <s v="Paul MJ" u="1"/>
        <s v="Susworth Trent East" u="1"/>
        <s v="Whitwell" u="1"/>
        <s v="T3_S&amp;N_BISHP_CSA-FS_FY27" u="1"/>
        <s v="NETHER KELLET CS - Filter PSSR Insp." u="1"/>
        <s v="NUFFIELD TO WINKFIELD - ILI Insp." u="1"/>
        <s v="SAPPERTON TO CIRENCESTER - ILI Insp." u="1"/>
        <s v="LUPTON TO BRETHERTON - ILI Inspection" u="1"/>
        <s v="BARROW TO LUPTON - ILI  Inspection" u="1"/>
        <s v="WORMINGTON TO SAPPERTON - ILI Inspection" u="1"/>
        <s v="T3_S&amp;N_ABZ_COMP_TURB_OVHL_FY27" u="1"/>
        <s v="T3_S&amp;N_ST FER CONS (BLD-RDS-DRN/SWE)Y27" u="1"/>
        <s v="Lube Oil Cooler Leak Investigation &amp; Rep" u="1"/>
        <s v="LOCATION 09999 TERMINAL" u="1"/>
        <s v="GRAVESEND THAMES SOUTH" u="1"/>
        <s v="HUNTINGDON COMPRESSOR STATION" u="1"/>
        <s v="PETERBOROUGH COMPRESSOR STATION" u="1"/>
        <s v="SADDLEBOW" u="1"/>
        <s v="THORNTON CURTIS B &amp; C" u="1"/>
        <s v="TILBURY THAMES NORTH" u="1"/>
        <s v="WILLINGTON" u="1"/>
        <s v="BAYE05 - 18211 - Depth of cover" u="1"/>
        <s v="BAYE05 - 17998 - Depth of cover" u="1"/>
        <s v="BAYE05 - 18214 - Depth of cover" u="1"/>
        <s v="BAYE05 - 18213 - Depth of cover" u="1"/>
        <s v="BARO03 - 18562 - Depth of cover" u="1"/>
        <s v="BARO03 - 18564 - Depth of cover" u="1"/>
        <s v="CASU07 - 7638 - Depth of cover" u="1"/>
        <s v="BARo03 - 18566 - Depth of Cover" u="1"/>
        <s v="T3_S&amp;N_Bill&amp;Pick_GQMT_FY27 (PICK)" u="1"/>
        <s v="E2_Aerial Markers" u="1"/>
        <s v="E3_Aerial Markers" u="1"/>
        <s v="E4_Aerial Markers" u="1"/>
        <s v="E3_OLI/4" u="1"/>
        <s v="E2_OLI/4" u="1"/>
        <s v="E1_Tree" u="1"/>
        <s v="E2_Shrub" u="1"/>
        <s v="E2_Tree" u="1"/>
        <s v="E3_Shrub" u="1"/>
        <s v="E3_Tree" u="1"/>
        <s v="E4_Shrub" u="1"/>
        <s v="E4_Tree" u="1"/>
        <s v="E5_Shrub" u="1"/>
        <s v="E5_Tree" u="1"/>
        <s v="TYDD ST GILES PIG TRAPA" u="1"/>
        <s v="IoG Defect 2" u="1"/>
        <s v="IoG Defect 3" u="1"/>
        <s v="IoG Defect 4" u="1"/>
        <s v="IoG Defect 5" u="1"/>
        <s v="IoG Defect 6" u="1"/>
        <s v="IoG Defect 7" u="1"/>
        <s v="Utilisation S&amp;N" u="1"/>
        <s v="EA02BAWI - LOCATION 09999-WISBECH NENE WEST" u="1"/>
        <s v="T3_Sites AGI FY28 Refurbishment East" u="1"/>
        <s v="DORRINGTON" u="1"/>
        <s v="EPPING GREEN" u="1"/>
        <s v="GEDNEY HILL" u="1"/>
        <s v="GOULCEBY" u="1"/>
        <s v="LITTLE CAWTHORPE" u="1"/>
        <s v="STALLINGBOROUGH" u="1"/>
        <s v="UPPINGHAM" u="1"/>
        <s v="T3_ S&amp;N _ST_FER_SITE_LIGHT" u="1"/>
        <s v="T3_S&amp;N_ ABZ_REFURB_&amp;_REP_FY27" u="1"/>
        <s v="Si-070 - HUNTINGDON" u="1"/>
        <s v="T3_S&amp;N_AVONBRDG_DRY_GAS_SEAL_FY27" u="1"/>
        <s v="AYLESBURY_CCTV &amp; EOL Satellites" u="1"/>
        <s v="BARTON STACEY" u="1"/>
        <s v="CHALGROVE" u="1"/>
        <s v="CHURCHOVER COMP TEE" u="1"/>
        <s v="CHURCHOVER MULTIJUNCTION" u="1"/>
        <s v="EAST ILSLEY" u="1"/>
        <s v="Hams Lane" u="1"/>
        <s v="HERBRANDSTON" u="1"/>
        <s v="HONEYBOURNE" u="1"/>
        <s v="KENN SOUTH" u="1"/>
        <s v="LOCKERLEY COMPRESSOR STATION" u="1"/>
        <s v="LUPTON MULTIJUNCTION" u="1"/>
        <s v="NETHER KELLET COMPRESSOR STATION" u="1"/>
        <s v="NEWBOLD PACEY" u="1"/>
        <s v="NEWTON NOYES" u="1"/>
        <s v="SAPPERTON" u="1"/>
        <s v="SHOCKLACH" u="1"/>
        <s v="SLAPTON" u="1"/>
        <s v="TIRLEY PRI" u="1"/>
        <s v="TREALES" u="1"/>
        <s v="WARRINGTON COMPRESSOR STATION" u="1"/>
        <s v="WORMINGTON" u="1"/>
        <s v="GRTA05 - Nitrogen Sleeve - 11443" u="1"/>
        <s v="BEHO06 - Nitrogen Sleeve- 7528" u="1"/>
        <s v="TYOL07 - Nitrogen Sleeve - 7366" u="1"/>
        <s v="TYOL07 - Nitrogen Sleeve - 7362" u="1"/>
        <s v="TYOL07 - Nitrogen Sleeve - 7347" u="1"/>
        <s v="TYOL07 - Nitrogen Sleeve - 7371" u="1"/>
        <s v="TYOL07 - Nitrogen Sleeve - 7337" u="1"/>
        <s v="TYOL07 - Nitrogen Sleeve - 7339" u="1"/>
        <s v="TYOL07 - Nitrogen Sleeve - 7334" u="1"/>
        <s v="TYOL07 - Nitrogen Sleeve - 7346" u="1"/>
        <s v="TYOL07 - Nitrogen Sleeve - 7349" u="1"/>
        <s v="TYOL07 - Nitrogen Sleeve - 7361" u="1"/>
        <s v="TYOL07 - Nitrogen Sleeve - 7363" u="1"/>
        <s v="TYOL07 - Nitrogen Sleeve - 7331" u="1"/>
        <s v="TYOL07 - Nitrogen Sleeve - 7364" u="1"/>
        <s v="TYOL07 - Nitrogen Sleeve - 7340" u="1"/>
        <s v="TYOL07 - Nitrogen Sleeve - 7344" u="1"/>
        <s v="TYOL07 - Nitrogen Sleeve - 7359" u="1"/>
        <s v="TYOL07 - Nitrogen Sleeve - 7355" u="1"/>
        <s v="TYOL07 - Nitrogen Sleeve - 7351" u="1"/>
        <s v="TYOL07 - Nitrogen Sleeve - 7330" u="1"/>
        <s v="TYOL07 - Nitrogen Sleeve - 7345" u="1"/>
        <s v="TYOL07 - Nitrogen Sleeve - 7341" u="1"/>
        <s v="TYOL07 - Nitrogen Sleeve - 7329" u="1"/>
        <s v="TYOL07 - Nitrogen Sleeve - 7332" u="1"/>
        <s v="TYOL07 - Nitrogen Sleeve - 7348" u="1"/>
        <s v="TYOL07 - Nitrogen Sleeve - 7352" u="1"/>
        <s v="TYOL07 - Nitrogen Sleeve - 7350" u="1"/>
        <s v="TYOL07 - Nitrogen Sleeve - 7369" u="1"/>
        <s v="TYOL07 - Nitrogen Sleeve - 7368" u="1"/>
        <s v="TYOL07 - Nitrogen Sleeve - 7370" u="1"/>
        <s v="TYOL07 - Nitrogen Sleeve - 7367" u="1"/>
        <s v="TYOL07 - Nitrogen Sleeve - 7335" u="1"/>
        <s v="TYOL07 - Nitrogen Sleeve - 7338" u="1"/>
        <s v="TYOL07 - Nitrogen Sleeve - 7328" u="1"/>
        <s v="SHIS05 - Nitrogen Sleeve - 7436" u="1"/>
        <s v="SHIS05 - Nitrogen Sleeve - 7435" u="1"/>
        <s v="TYOL07 - Nitrogen Sleeve - 7360" u="1"/>
        <s v="GRTA05- Nitrogen Sleeve - TBC" u="1"/>
        <s v="TYOL07 - Nitrogen Sleeve - TBC" u="1"/>
        <s v="SHIS05 - Nitrogen Sleeve - 7437" u="1"/>
        <s v="TYOL07 - Nitrogen Sleeve - 7343" u="1"/>
        <s v="T3_Sites_AGI Upgrades Campaign" u="1"/>
        <s v="T3_S&amp;N_T3_S&amp;N_KIRRIE_ LUBE OIL_FY27" u="1"/>
        <s v="OTTERY ST. MARY" u="1"/>
        <s v="GOXHILL" u="1"/>
        <s v="GRAVESEND" u="1"/>
        <s v="LUTTON" u="1"/>
        <s v="PAULL" u="1"/>
        <s v="WisbechNeneW" u="1"/>
        <s v="ROXWELL" u="1"/>
        <s v="SHANGTON" u="1"/>
        <s v="SHORNE" u="1"/>
        <s v="StaplefrdTawn" u="1"/>
        <s v="TILBURY" u="1"/>
        <s v="HIPF - Feeder 11 Pipeline" u="1"/>
        <s v="HIPF - Feeder 7 Pipeline" u="1"/>
        <s v="T3_S&amp;N_BISHP_LIGHT_&amp;_CABLE_REP_FY27" u="1"/>
        <s v="T3_S&amp;N_KIRRIE_LIGHT_&amp;_CABLE_REP_FY27" u="1"/>
        <s v="PUCKLECHURCH TO SEABANK - AC Remediation" u="1"/>
        <s v="BLABY TO ALREWAS - AC Remediation" u="1"/>
        <s v="TREALES TO BURSCOUGH - AC Remediation" u="1"/>
        <s v="Capex Holding Code - West Utilisation_x0009_" u="1"/>
        <s v="T3 Holding Account" u="1"/>
        <s v="T3 Tech Engineering - SRE" u="1"/>
        <s v="T3 Tech Engineering - QE" u="1"/>
        <s v="T3 Tech Engineering - Integration" u="1"/>
        <s v="T3 Data Defence" u="1"/>
        <s v="T3 Tech Engineering - Production Support" u="1"/>
        <s v="T3 Digital Workplace Services" u="1"/>
        <s v="T3 Finance - Projects &amp; Assets" u="1"/>
        <s v="T3 Enterprise Networks (IT)" u="1"/>
        <s v="T3 ServiceNow" u="1"/>
        <s v="T3 Maximo Re-platforming PoT" u="1"/>
        <s v="T3 Enabling Data as a product" u="1"/>
        <s v="T3 AI - Digital Experience" u="1"/>
        <s v="T3 Employee Relations Cases" u="1"/>
        <s v="T3 NGS Transformation Discovery Phase" u="1"/>
        <s v="GSO IT - Holding Account" u="1"/>
        <s v="GT IT - Holding Account" u="1"/>
        <s v="GT OTTP" u="1"/>
        <s v="Modelling and Simulation Services (MASS)" u="1"/>
        <s v="204-ENT-IAM" u="1"/>
        <s v="205-ENT-Culture and Training" u="1"/>
        <s v="206-ENT-Security Influence" u="1"/>
        <s v="Enhanced Asset data Interoperability" u="1"/>
        <s v="T3a - Refresh Field Force Devices" u="1"/>
        <s v="T3a - EAM Tech Health - Hierarchy" u="1"/>
        <s v="T3a - Supply Chain Optimisation" u="1"/>
        <s v="T3a - GIS Vulnerabilities" u="1"/>
        <s v="T3a - Refresh Field Force Platform &amp; App" u="1"/>
        <s v="T3a - People Systems" u="1"/>
        <s v="T3a - IT001 MaSS" u="1"/>
        <s v="T3a - Innovation and Modern Technology" u="1"/>
        <s v="T3a - GSTIG replacement" u="1"/>
        <s v="T3a - Service Management" u="1"/>
        <s v="T3a - Finance Modernisation - Discovery" u="1"/>
        <s v="T3a - Finance Modernisation - Design" u="1"/>
        <s v="T3a - Finance Modernisation-Tech upgrade" u="1"/>
        <s v="T3a -S2P Procurement System Efficiencies" u="1"/>
        <s v="T3a - S2C New Digital Capability" u="1"/>
        <s v="T3a - Governance Risk and Controls" u="1"/>
        <s v="Building for Growth - IT Systems" u="1"/>
        <s v="204-ENT-IAM Cyber IT" u="1"/>
        <s v="T3 Resolve" u="1"/>
        <s v="T3 Resilient Communications" u="1"/>
        <s v="Property Site Acquisition - Leicester" u="1"/>
        <s v="Property Site Acquisition - Barrow" u="1"/>
        <s v="NGT Op Site Refurbishment" u="1"/>
        <s v="T2_EV Chargers Installation" u="1"/>
        <s v="BFG Leasehold Site Improvements_x0009_" u="1"/>
        <s v="ITS-P14 IAM" u="1"/>
        <s v="OT-P01 Cyber Asset Management (CAMs)" u="1"/>
        <s v="OT-P07 Backups for OT" u="1"/>
        <s v="ITS-P17 Network Boundary T&amp;R" u="1"/>
        <s v="ITS-P32 Network Architecture Updates" u="1"/>
        <s v="ITS-P12 Breach &amp; Attack Simulation" u="1"/>
        <s v="ITS-P08 Deception / Honeypot" u="1"/>
        <s v="OT-P16 CORE" u="1"/>
        <s v="ITS-P15 AI Network Security and Threat" u="1"/>
        <s v="ITS-P03 SIEM" u="1"/>
        <s v="T3 Operational S&amp;C FY27" u="1"/>
        <s v="T3 Gemini Maintain and Enhance FY27/8" u="1"/>
        <s v="T3 Gemini Data Provisioning FY27/8" u="1"/>
        <s v="T3 Gemini Regulatory Change FY27/8" u="1"/>
        <s v="T3 Future Network Telemetry FY27/8 (GTN)" u="1"/>
        <s v="T3 DCEOL (GTN Refresh)" u="1"/>
        <s v="T3 Apps Migration (GTN Refresh)" u="1"/>
        <s v="T3 GSO Predictive Forecasting &amp; Net Yr1" u="1"/>
        <s v="T3 Network Modelling Cap (Simone) FY27" u="1"/>
        <s v="T3 Enhanced Commercial Apps FY27" u="1"/>
        <s v="T3 FY27 NIP Margins Notices" u="1"/>
        <s v="GTN Refresh" u="1"/>
        <s v="Additional GSO Cyber Capabilities" u="1"/>
        <s v="GSO FY25 Gemini Sustain" u="1"/>
        <s v="GSO FY25 Gemini Regulatory" u="1"/>
        <s v="GSO FY25 Non-Gemini" u="1"/>
        <s v="GSO Security –Enhanced Profile Readiness" u="1"/>
        <s v="T3a-GSO Network Capability" u="1"/>
        <s v="T3a-GSO EDSS Replacement" u="1"/>
        <s v="T3a-GSO Operational Process Improvements" u="1"/>
        <s v="T3a-GSO Resiliency &amp; Security of Supply" u="1"/>
        <s v="T3a-GSO Whole Energy System Response" u="1"/>
        <s v="GSO enTrader Refresh" u="1"/>
        <s v="SO-P03 Immutable BMR Rollout" u="1"/>
        <s v="SO-P15 Control Messaging M&amp;R" u="1"/>
        <s v="SO-P18 Asset Mgmt Integration Insights" u="1"/>
        <s v="SO-P14 Intrusion Detection (IDS/IPS)" u="1"/>
      </sharedItems>
    </cacheField>
    <cacheField name="WBS Element" numFmtId="0">
      <sharedItems containsBlank="1" count="2583">
        <s v="PROJECT PROJECT 000128PROJECT 0001-PROJECT 00011"/>
        <s v="PROJECT PROJECT 000128PROJECT 0001-PROJECT 00011-PROJECT 00011-PROJECT 00012"/>
        <s v="PROJECT PROJECT 000128PROJECT 0001-PROJECT 00011-PROJECT 00011-PROJECT 00013"/>
        <s v="PROJECT PROJECT 000128PROJECT 0001-PROJECT 00011-PROJECT 00011-PROJECT 00014"/>
        <s v="PROJECT PROJECT 000128PROJECT 0001-PROJECT 00012-PROJECT 00011-PROJECT 00013"/>
        <s v="PROJECT PROJECT 000128PROJECT 0001-PROJECT 00012-PROJECT 00012-PROJECT 00013"/>
        <s v="PROJECT PROJECT 000128PROJECT 0001-PROJECT 00012-PROJECT 00013-PROJECT 00011"/>
        <s v="PROJECT PROJECT 000128PROJECT 0001-PROJECT 00012-PROJECT 00013-PROJECT 00016"/>
        <s v="PROJECT PROJECT 000128PROJECT 0001-PROJECT 00012-PROJECT 00014-PROJECT 00016"/>
        <s v="PROJECT PROJECT 000128PROJECT 0001-PROJECT 00013-PROJECT 00011-PROJECT 00012"/>
        <s v="PROJECT PROJECT 000128PROJECT 0001-PROJECT 00013-PROJECT 00011-PROJECT 00013"/>
        <s v="PROJECT PROJECT 000128PROJECT 0001-PROJECT 00014-PROJECT 00012-PROJECT 00014"/>
        <s v="PROJECT PROJECT 000128PROJECT 0001-PROJECT 00017-PROJECT 00011-PROJECT 00011"/>
        <s v="PROJECT PROJECT 0001285-PROJECT 00011-PROJECT 00011-PROJECT 00012"/>
        <s v="PROJECT PROJECT 0001285-PROJECT 00011-PROJECT 00011-PROJECT 00013"/>
        <s v="PROJECT PROJECT 0001285-PROJECT 00011-PROJECT 00011-PROJECT 00014"/>
        <s v="PROJECT PROJECT 0001285-PROJECT 00012-PROJECT 00012-PROJECT 00013"/>
        <s v="PROJECT PROJECT 0001285-PROJECT 00012-PROJECT 00013-PROJECT 00016"/>
        <s v="PROJECT PROJECT 0001371-PROJECT 00011-PROJECT 00011-PROJECT 00011"/>
        <s v="PROJECT PROJECT 0001371-PROJECT 00011-PROJECT 00011-PROJECT 00013"/>
        <s v="PROJECT PROJECT 0001371-PROJECT 00012-PROJECT 00012-PROJECT 00011"/>
        <s v="PROJECT PROJECT 0001371-PROJECT 00014-PROJECT 00011-PROJECT 00013"/>
        <s v="PROJECT PROJECT 0001371-PROJECT 00017-PROJECT 00011-PROJECT 00011"/>
        <s v="PROJECT PROJECT 0001416-PROJECT 00011"/>
        <s v="PROJECT PROJECT 0001416-PROJECT 00011-PROJECT 00011-PROJECT 00011"/>
        <s v="PROJECT PROJECT 0001416-PROJECT 00011-PROJECT 00011-PROJECT 00012"/>
        <s v="PROJECT PROJECT 0001416-PROJECT 00011-PROJECT 00011-PROJECT 00013"/>
        <s v="PROJECT PROJECT 0001416-PROJECT 00011-PROJECT 00011-PROJECT 00014"/>
        <s v="PROJECT PROJECT 0001416-PROJECT 00011-PROJECT 00011-PROJECT 00016"/>
        <s v="PROJECT PROJECT 0001416-PROJECT 00012-PROJECT 00011-PROJECT 00011"/>
        <s v="PROJECT PROJECT 0001416-PROJECT 00012-PROJECT 00011-PROJECT 00012"/>
        <s v="PROJECT PROJECT 0001416-PROJECT 00012-PROJECT 00011-PROJECT 00013"/>
        <s v="PROJECT PROJECT 0001416-PROJECT 00012-PROJECT 00011-PROJECT 00014"/>
        <s v="PROJECT PROJECT 0001416-PROJECT 00012-PROJECT 00012-PROJECT 00013"/>
        <s v="PROJECT PROJECT 0001416-PROJECT 00012-PROJECT 00014-PROJECT 00016"/>
        <s v="PROJECT PROJECT 0001416-PROJECT 00013-PROJECT 00011-PROJECT 00013"/>
        <s v="PROJECT PROJECT 0001416-PROJECT 00013-PROJECT 00012-PROJECT 00011"/>
        <s v="PROJECT PROJECT 0001416-PROJECT 00014-PROJECT 00011-PROJECT 00012"/>
        <s v="PROJECT PROJECT 0001416-PROJECT 00014-PROJECT 00011-PROJECT 00013"/>
        <s v="PROJECT PROJECT 0001416-PROJECT 00014-PROJECT 00012-PROJECT 00014"/>
        <s v="PROJECT PROJECT 0001416-PROJECT 00017-PROJECT 00011-PROJECT 00011"/>
        <s v="PROJECT PROJECT 0001417-PROJECT 00011-PROJECT 00011-PROJECT 00011"/>
        <s v="PROJECT PROJECT 0001417-PROJECT 00011-PROJECT 00011-PROJECT 00013"/>
        <s v="PROJECT PROJECT 0001417-PROJECT 00011-PROJECT 00011-PROJECT 00014"/>
        <s v="PROJECT PROJECT 0001417-PROJECT 00012-PROJECT 00013-PROJECT 00016"/>
        <s v="PROJECT PROJECT 0001417-PROJECT 00014-PROJECT 00012-PROJECT 00016"/>
        <s v="PROJECT PROJECT 0001437-PROJECT 00011-PROJECT 00011-PROJECT 00011"/>
        <s v="PROJECT PROJECT 0001437-PROJECT 00011-PROJECT 00011-PROJECT 00012"/>
        <s v="PROJECT PROJECT 0001437-PROJECT 00011-PROJECT 00011-PROJECT 00013"/>
        <s v="PROJECT PROJECT 0001437-PROJECT 00011-PROJECT 00011-PROJECT 00014"/>
        <s v="PROJECT PROJECT 0001437-PROJECT 00011-PROJECT 00011-PROJECT 00016"/>
        <s v="PROJECT PROJECT 0001437-PROJECT 00012-PROJECT 00013-PROJECT 00016"/>
        <s v="PROJECT PROJECT 0001437-PROJECT 00017-PROJECT 00011-PROJECT 00011"/>
        <s v="PROJECT PROJECT 0001462-PROJECT 00011-PROJECT 00011-PROJECT 00011"/>
        <s v="PROJECT PROJECT 0001462-PROJECT 00011-PROJECT 00011-PROJECT 00012"/>
        <s v="PROJECT PROJECT 0001462-PROJECT 00011-PROJECT 00011-PROJECT 00013"/>
        <s v="PROJECT PROJECT 0001462-PROJECT 00011-PROJECT 00011-PROJECT 00014"/>
        <s v="PROJECT PROJECT 0001462-PROJECT 00011-PROJECT 00011-PROJECT 00016"/>
        <s v="PROJECT PROJECT 0001462-PROJECT 00012-PROJECT 00012-PROJECT 00013"/>
        <s v="PROJECT PROJECT 0001694-PROJECT 00011-PROJECT 00011-PROJECT 00012"/>
        <s v="PROJECT PROJECT 0001915-PROJECT 00011-PROJECT 00011-PROJECT 00011"/>
        <s v="PROJECT PROJECT 0001915-PROJECT 00011-PROJECT 00011-PROJECT 00012"/>
        <s v="PROJECT PROJECT 0001915-PROJECT 00011-PROJECT 00011-PROJECT 00014"/>
        <s v="PROJECT PROJECT 0001915-PROJECT 00012-PROJECT 00014-PROJECT 00012"/>
        <s v="PROJECT PROJECT 0001915-PROJECT 00014-PROJECT 00012-PROJECT 00011"/>
        <s v="PROJECT PROJECT 0001915-PROJECT 00017-PROJECT 00011-PROJECT 00011"/>
        <s v="PROJECT 11PROJECT 00017-PROJECT 00011-PROJECT 00011-PROJECT 00014"/>
        <m/>
        <s v="CYB/07976-30-98-04" u="1"/>
        <s v="GTX/00010-02-67" u="1"/>
        <s v="GTX/00066-01-01-02" u="1"/>
        <s v="GTX/00066-01-02-01" u="1"/>
        <s v="GTX/00066-01-03-03" u="1"/>
        <s v="GTX/00066-01-04-01" u="1"/>
        <s v="GTX/00066-01-04-02" u="1"/>
        <s v="GTX/00066-01-05-02" u="1"/>
        <s v="GTX/00066-01-05-03" u="1"/>
        <s v="GTX/00066-01-05-04" u="1"/>
        <s v="GTX/00066-01-05-05" u="1"/>
        <s v="GTX/00081-01-01" u="1"/>
        <s v="GTX/00096-01-01-01" u="1"/>
        <s v="GTX/00096-01-01-03" u="1"/>
        <s v="GTX/00096-01-01-04" u="1"/>
        <s v="GTX/00099-01-01-01" u="1"/>
        <s v="GTX/00099-01-02-04" u="1"/>
        <s v="GTX/00099-01-04-01" u="1"/>
        <s v="GTX/00099-01-04-02" u="1"/>
        <s v="GTX/00099-01-05-02" u="1"/>
        <s v="GTX/00099-01-05-03" u="1"/>
        <s v="GTX/00099-01-05-04" u="1"/>
        <s v="GTX/00099-01-05-05" u="1"/>
        <s v="GTX/00213-01-05" u="1"/>
        <s v="GTX/00217-01-05-03" u="1"/>
        <s v="GTX/00217-01-05-05" u="1"/>
        <s v="GTX/00239-01-01" u="1"/>
        <s v="GTX/00239-01-01-03" u="1"/>
        <s v="GTX/00239-01-03" u="1"/>
        <s v="GTX/00260-04-05" u="1"/>
        <s v="GTX/00262-01-04-02" u="1"/>
        <s v="GTX/00262-01-05-03" u="1"/>
        <s v="GTX/00273-01-01-02" u="1"/>
        <s v="GTX/00273-01-01-05" u="1"/>
        <s v="GTX/00285-01-01" u="1"/>
        <s v="GTX/00302-01-01" u="1"/>
        <s v="GTX/00302-01-02" u="1"/>
        <s v="GTX/00302-01-03" u="1"/>
        <s v="GTX/00302-01-04" u="1"/>
        <s v="GTX/00302-01-05" u="1"/>
        <s v="GTX/00302-04-01" u="1"/>
        <s v="GTX/00302-04-02" u="1"/>
        <s v="GTX/00302-04-03" u="1"/>
        <s v="GTX/00302-04-04" u="1"/>
        <s v="GTX/00302-06-01" u="1"/>
        <s v="GTX/00302-06-02" u="1"/>
        <s v="GTX/00302-07-01" u="1"/>
        <s v="GTX/00302-07-04" u="1"/>
        <s v="GTX/00302-08-03" u="1"/>
        <s v="GTX/00302-19-01" u="1"/>
        <s v="GTX/00302-19-03" u="1"/>
        <s v="GTX/00302-19-04" u="1"/>
        <s v="GTX/00302-20-04" u="1"/>
        <s v="GTX/00302-29-03" u="1"/>
        <s v="GTX/00302-31-02" u="1"/>
        <s v="GTX/00302-31-03" u="1"/>
        <s v="GTX/00302-31-04" u="1"/>
        <s v="GTX/00302-31-05" u="1"/>
        <s v="GTX/00302-32-01" u="1"/>
        <s v="GTX/00302-32-02" u="1"/>
        <s v="GTX/00302-32-03" u="1"/>
        <s v="GTX/00302-32-05" u="1"/>
        <s v="GTX/00302-33-03" u="1"/>
        <s v="GTX/00302-34-01" u="1"/>
        <s v="GTX/00302-34-02" u="1"/>
        <s v="GTX/00302-34-03" u="1"/>
        <s v="GTX/00302-37-02" u="1"/>
        <s v="GTX/00302-37-03" u="1"/>
        <s v="GTX/00302-37-04" u="1"/>
        <s v="GTX/00302-38-03" u="1"/>
        <s v="GTX/00302-43-03" u="1"/>
        <s v="GTX/00302-43-04" u="1"/>
        <s v="GTX/00302-95-03" u="1"/>
        <s v="GTX/00337-01-01" u="1"/>
        <s v="GTX/00377-01-05" u="1"/>
        <s v="GTX/00461-01-06" u="1"/>
        <s v="GTX/00461-01-10" u="1"/>
        <s v="GTX/00464-01-02" u="1"/>
        <s v="GTX/00464-01-04" u="1"/>
        <s v="GTX/00497-01-02-04" u="1"/>
        <s v="GTX/00497-01-03-02" u="1"/>
        <s v="GTX/00497-01-04-01" u="1"/>
        <s v="GTX/00497-01-04-02" u="1"/>
        <s v="GTX/00497-01-05-02" u="1"/>
        <s v="GTX/00497-01-05-03" u="1"/>
        <s v="GTX/00497-01-05-04" u="1"/>
        <s v="GTX/00497-01-05-05" u="1"/>
        <s v="GTX/00512-01-01" u="1"/>
        <s v="GTX/00512-01-03" u="1"/>
        <s v="GTX/00512-01-04" u="1"/>
        <s v="GTX/00526-01-01-03" u="1"/>
        <s v="GTX/00526-01-05-01" u="1"/>
        <s v="GTX/00590-01-04-02" u="1"/>
        <s v="GTX/00590-01-05-03" u="1"/>
        <s v="GTX/00623-01-01-05" u="1"/>
        <s v="GTX/00623-01-03-04" u="1"/>
        <s v="GTX/00623-01-03-11" u="1"/>
        <s v="GTX/00634-01-03-03" u="1"/>
        <s v="GTX/00634-01-03-04" u="1"/>
        <s v="GTX/00634-01-05-02" u="1"/>
        <s v="GTX/00634-01-05-05" u="1"/>
        <s v="GTX/00655-01-01" u="1"/>
        <s v="GTX/00655-01-01-03" u="1"/>
        <s v="GTX/00655-01-03" u="1"/>
        <s v="GTX/00711-01-01-02" u="1"/>
        <s v="GTX/00711-01-01-03" u="1"/>
        <s v="GTX/00711-04-12-09" u="1"/>
        <s v="GTX/00711-04-15-04" u="1"/>
        <s v="GTX/00737-01-01-02" u="1"/>
        <s v="GTX/00737-01-03-02" u="1"/>
        <s v="GTX/00737-01-04-01" u="1"/>
        <s v="GTX/00737-01-05-01" u="1"/>
        <s v="GTX/00737-01-05-02" u="1"/>
        <s v="GTX/00737-01-05-03" u="1"/>
        <s v="GTX/00737-01-05-04" u="1"/>
        <s v="GTX/00737-01-05-05" u="1"/>
        <s v="GTX/00802-01-01-01" u="1"/>
        <s v="GTX/00802-01-01-06" u="1"/>
        <s v="GTX/00863-01-01" u="1"/>
        <s v="GTX/00863-01-04" u="1"/>
        <s v="GTX/00868-01-05-02" u="1"/>
        <s v="GTX/00868-01-05-03" u="1"/>
        <s v="GTX/00868-01-05-04" u="1"/>
        <s v="GTX/00951-01-03-04" u="1"/>
        <s v="GTX/00974-01-02-04" u="1"/>
        <s v="GTX/00974-01-04-01" u="1"/>
        <s v="GTX/00974-01-05-02" u="1"/>
        <s v="GTX/00974-01-05-04" u="1"/>
        <s v="GTX/00974-01-05-05" u="1"/>
        <s v="GTX/00992-01-03-10" u="1"/>
        <s v="GTX/00992-07-03-03" u="1"/>
        <s v="GTX/01017-01-03" u="1"/>
        <s v="GTX/01017-01-04" u="1"/>
        <s v="GTX/01017-01-05" u="1"/>
        <s v="GTX/01021-01-01-03" u="1"/>
        <s v="GTX/01021-01-04-01" u="1"/>
        <s v="GTX/01021-01-04-02" u="1"/>
        <s v="GTX/01021-01-05-01" u="1"/>
        <s v="GTX/01021-01-05-02" u="1"/>
        <s v="GTX/01021-01-05-03" u="1"/>
        <s v="GTX/01021-01-05-04" u="1"/>
        <s v="GTX/01021-01-05-05" u="1"/>
        <s v="GTX/01055-01-03-10" u="1"/>
        <s v="GTX/01055-07-03-03" u="1"/>
        <s v="GTX/01118-04-12-05" u="1"/>
        <s v="GTX/01144-01-01-07" u="1"/>
        <s v="GTX/01145-01-01-01" u="1"/>
        <s v="GTX/01145-01-02-01" u="1"/>
        <s v="GTX/01145-01-03-04" u="1"/>
        <s v="GTX/01145-01-05-02" u="1"/>
        <s v="GTX/01145-01-05-05" u="1"/>
        <s v="GTX/01164-01-01" u="1"/>
        <s v="GTX/01164-01-07" u="1"/>
        <s v="GTX/01180-01-01-03" u="1"/>
        <s v="GTX/01180-01-01-07" u="1"/>
        <s v="GTX/01180-01-05-01" u="1"/>
        <s v="GTX/01180-04-12-05" u="1"/>
        <s v="GTX/01180-04-12-09" u="1"/>
        <s v="GTX/01180-04-15-01" u="1"/>
        <s v="GTX/01249-01-01-02" u="1"/>
        <s v="GTX/01249-01-02-04" u="1"/>
        <s v="GTX/01249-01-03-03" u="1"/>
        <s v="GTX/01249-01-04-01" u="1"/>
        <s v="GTX/01249-01-04-02" u="1"/>
        <s v="GTX/01249-01-05-02" u="1"/>
        <s v="GTX/01249-01-05-03" u="1"/>
        <s v="GTX/01249-01-05-04" u="1"/>
        <s v="GTX/01249-01-05-05" u="1"/>
        <s v="GTX/01276-01" u="1"/>
        <s v="GTX/01276-01-01-02" u="1"/>
        <s v="GTX/01286-01-05" u="1"/>
        <s v="GTX/01288-01-03" u="1"/>
        <s v="GTX/01292-01-05-03" u="1"/>
        <s v="GTX/01292-01-05-05" u="1"/>
        <s v="GTX/01296-01-01-01" u="1"/>
        <s v="GTX/01296-02-01-01" u="1"/>
        <s v="GTX/01296-02-10-02" u="1"/>
        <s v="GTX/01383-01-01-01" u="1"/>
        <s v="GTX/01383-01-01-03" u="1"/>
        <s v="GTX/01383-01-02-03" u="1"/>
        <s v="GTX/01383-04-01-03" u="1"/>
        <s v="GTX/01383-07-02-05" u="1"/>
        <s v="GTX/01383-08-05-12" u="1"/>
        <s v="GTX/01383-08-10-01" u="1"/>
        <s v="GTX/01406-01-01-01" u="1"/>
        <s v="GTX/01406-01-01-05" u="1"/>
        <s v="GTX/01406-04-01-03" u="1"/>
        <s v="GTX/01576-02-02-05" u="1"/>
        <s v="GTX/01576-10-01-01" u="1"/>
        <s v="GTX/01602-01-01-01" u="1"/>
        <s v="GTX/01602-01-01-02" u="1"/>
        <s v="GTX/01602-01-01-03" u="1"/>
        <s v="GTX/01602-02-01-01" u="1"/>
        <s v="GTX/01602-02-03-05" u="1"/>
        <s v="GTX/01602-03-01-03" u="1"/>
        <s v="GTX/01602-04-01-03" u="1"/>
        <s v="GTX/01602-07-01-01" u="1"/>
        <s v="GTX/01602-07-02-04" u="1"/>
        <s v="GTX/01602-07-02-06" u="1"/>
        <s v="GTX/01602-08-04-04" u="1"/>
        <s v="GTX/01602-08-08-04" u="1"/>
        <s v="GTX/01644-03-02-03" u="1"/>
        <s v="GTX/01645-01-01-01" u="1"/>
        <s v="GTX/01645-01-01-02" u="1"/>
        <s v="GTX/01645-01-01-03" u="1"/>
        <s v="GTX/01645-01-01-04" u="1"/>
        <s v="GTX/01645-08-01-01" u="1"/>
        <s v="GTX/01645-08-01-02" u="1"/>
        <s v="GTX/01645-08-01-03" u="1"/>
        <s v="GTX/01645-08-01-04" u="1"/>
        <s v="GTX/01645-08-01-06" u="1"/>
        <s v="GTX/01645-08-01-07" u="1"/>
        <s v="GTX/01645-08-02-02" u="1"/>
        <s v="GTX/01645-08-10-01" u="1"/>
        <s v="GTX/01648-01-01-01" u="1"/>
        <s v="GTX/01648-01-01-02" u="1"/>
        <s v="GTX/01648-02-02-02" u="1"/>
        <s v="GTX/01648-02-03-01" u="1"/>
        <s v="GTX/01648-03-02-01" u="1"/>
        <s v="GTX/01648-04-01-03" u="1"/>
        <s v="GTX/01648-04-02-02" u="1"/>
        <s v="GTX/01648-04-02-03" u="1"/>
        <s v="GTX/01648-08-01-01" u="1"/>
        <s v="GTX/01648-08-01-07" u="1"/>
        <s v="GTX/01648-08-04-01" u="1"/>
        <s v="GTX/01648-08-04-03" u="1"/>
        <s v="GTX/01648-08-06-04" u="1"/>
        <s v="GTX/01703-01-01-01" u="1"/>
        <s v="GTX/01703-01-01-02" u="1"/>
        <s v="GTX/01703-01-01-03" u="1"/>
        <s v="GTX/01703-03-02-02" u="1"/>
        <s v="GTX/01703-04-01-02" u="1"/>
        <s v="GTX/01703-04-01-03" u="1"/>
        <s v="GTX/01703-04-02-02" u="1"/>
        <s v="GTX/01703-08-01-01" u="1"/>
        <s v="GTX/01703-08-01-02" u="1"/>
        <s v="GTX/01703-09-02-03" u="1"/>
        <s v="GTX/01792-01-01-01" u="1"/>
        <s v="GTX/01792-01-01-02" u="1"/>
        <s v="GTX/01792-01-01-03" u="1"/>
        <s v="GTX/01792-02-02-01" u="1"/>
        <s v="GTX/01792-08-08-28" u="1"/>
        <s v="GTX/01792-11-02-01" u="1"/>
        <s v="GTX/01838-01-01-01" u="1"/>
        <s v="GTX/01838-01-01-05" u="1"/>
        <s v="GTX/01863-01-01-03" u="1"/>
        <s v="GTX/01863-01-01-04" u="1"/>
        <s v="GTX/01863-11-01-01" u="1"/>
        <s v="GTX/01865-02-02-06" u="1"/>
        <s v="GTX/01865-11-01-01" u="1"/>
        <s v="GTX/01990-01-01-04" u="1"/>
        <s v="GTX/01991-01-01-01" u="1"/>
        <s v="GTX/01991-01-01-02" u="1"/>
        <s v="GTX/01991-01-01-03" u="1"/>
        <s v="GTX/01991-02-02-05" u="1"/>
        <s v="GTX/02042-01-01-01" u="1"/>
        <s v="GTX/02042-01-01-03" u="1"/>
        <s v="GTX/02042-08-10-01" u="1"/>
        <s v="GTX/02049-01-01-03" u="1"/>
        <s v="GTX/02049-02-02-01" u="1"/>
        <s v="GTX/02049-04-02-07" u="1"/>
        <s v="GTX/02070-08-08-17" u="1"/>
        <s v="GTX/02087-01-01-01" u="1"/>
        <s v="GTX/02087-01-01-02" u="1"/>
        <s v="GTX/02087-01-01-05" u="1"/>
        <s v="GTX/02087-02-02-01" u="1"/>
        <s v="GTX/02087-03-02-02" u="1"/>
        <s v="GTX/02109-01-01-02" u="1"/>
        <s v="GTX/02135-01-01-01" u="1"/>
        <s v="GTX/02135-03-02-02" u="1"/>
        <s v="GTX/02135-03-02-03" u="1"/>
        <s v="GTX/02137-03-02-03" u="1"/>
        <s v="GTX/02137-04-01-01" u="1"/>
        <s v="GTX/02137-04-01-03" u="1"/>
        <s v="GTX/02137-08-05-09" u="1"/>
        <s v="GTX/02137-11-02-01" u="1"/>
        <s v="GTX/02150-01-01-01" u="1"/>
        <s v="GTX/02150-01-01-02" u="1"/>
        <s v="GTX/02150-02-04-01" u="1"/>
        <s v="GTX/02150-04-02-02" u="1"/>
        <s v="GTX/02150-04-02-03" u="1"/>
        <s v="GTX/02150-04-02-05" u="1"/>
        <s v="GTX/02160-01" u="1"/>
        <s v="GTX/02161-01" u="1"/>
        <s v="GTX/02162-01" u="1"/>
        <s v="GTX/02181-01-01-01" u="1"/>
        <s v="GTX/02181-01-01-03" u="1"/>
        <s v="GTX/02181-04-01-03" u="1"/>
        <s v="GTX/02181-08-10-01" u="1"/>
        <s v="GTX/02184-01-01-01" u="1"/>
        <s v="GTX/02184-01-01-02" u="1"/>
        <s v="GTX/02184-01-01-03" u="1"/>
        <s v="GTX/02184-01-02-03" u="1"/>
        <s v="GTX/02184-08-10-01" u="1"/>
        <s v="GTX/02185-01-01-01" u="1"/>
        <s v="GTX/02185-01-01-02" u="1"/>
        <s v="GTX/02185-01-01-03" u="1"/>
        <s v="GTX/02185-01-02-02" u="1"/>
        <s v="GTX/02185-02-02-02" u="1"/>
        <s v="GTX/02185-02-02-05" u="1"/>
        <s v="GTX/02185-03-01-02" u="1"/>
        <s v="GTX/02185-04-01-03" u="1"/>
        <s v="GTX/02185-04-02-03" u="1"/>
        <s v="GTX/02185-08-04-03" u="1"/>
        <s v="GTX/02185-08-10-01" u="1"/>
        <s v="GTX/02186-01-01-01" u="1"/>
        <s v="GTX/02186-01-01-02" u="1"/>
        <s v="GTX/02186-01-01-03" u="1"/>
        <s v="GTX/02186-04-01-03" u="1"/>
        <s v="GTX/02186-04-02-03" u="1"/>
        <s v="GTX/02186-07-01-01" u="1"/>
        <s v="GTX/02186-07-02-05" u="1"/>
        <s v="GTX/02186-08-08-01" u="1"/>
        <s v="GTX/02190-01-01-01" u="1"/>
        <s v="GTX/02190-01-01-05" u="1"/>
        <s v="GTX/02190-04-01-03" u="1"/>
        <s v="GTX/02190-04-02-07" u="1"/>
        <s v="GTX/02215-01-01-01" u="1"/>
        <s v="GTX/02215-01-01-03" u="1"/>
        <s v="GTX/02215-02-02-06" u="1"/>
        <s v="GTX/02215-08-04-18" u="1"/>
        <s v="GTX/02215-08-09-01" u="1"/>
        <s v="GTX/02215-08-10-01" u="1"/>
        <s v="GTX/02217-01-01-01" u="1"/>
        <s v="GTX/02254-01" u="1"/>
        <s v="GTX/02254-01-01-02" u="1"/>
        <s v="GTX/02254-01-01-03" u="1"/>
        <s v="GTX/02254-01-01-04" u="1"/>
        <s v="GTX/02254-02-01-03" u="1"/>
        <s v="GTX/02254-02-02-03" u="1"/>
        <s v="GTX/02254-02-03-01" u="1"/>
        <s v="GTX/02254-02-03-06" u="1"/>
        <s v="GTX/02254-02-04-06" u="1"/>
        <s v="GTX/02254-03-01-02" u="1"/>
        <s v="GTX/02254-03-01-03" u="1"/>
        <s v="GTX/02254-04-02-04" u="1"/>
        <s v="GTX/02254-07-01-01" u="1"/>
        <s v="GTX/02271-01-01-03" u="1"/>
        <s v="GTX/02271-01-01-04" u="1"/>
        <s v="GTX/02271-04-01-01" u="1"/>
        <s v="GTX/02271-04-02-04" u="1"/>
        <s v="GTX/02271-08-01-01" u="1"/>
        <s v="GTX/02282-01-01-03" u="1"/>
        <s v="GTX/02282-01-01-04" u="1"/>
        <s v="GTX/02282-02-03-06" u="1"/>
        <s v="GTX/02282-08-06-02" u="1"/>
        <s v="GTX/02282-08-10-01" u="1"/>
        <s v="GTX/02283-01-01-02" u="1"/>
        <s v="GTX/02283-01-01-03" u="1"/>
        <s v="GTX/02283-01-01-04" u="1"/>
        <s v="GTX/02283-07-02-05" u="1"/>
        <s v="GTX/02286-01-01-02" u="1"/>
        <s v="GTX/02286-01-01-03" u="1"/>
        <s v="GTX/02286-01-01-04" u="1"/>
        <s v="GTX/02286-02-02-03" u="1"/>
        <s v="GTX/02286-02-03-06" u="1"/>
        <s v="GTX/02288-01-01-01" u="1"/>
        <s v="GTX/02288-01-01-04" u="1"/>
        <s v="GTX/02288-01-01-05" u="1"/>
        <s v="GTX/02288-04-02-02" u="1"/>
        <s v="GTX/02288-10-01-02" u="1"/>
        <s v="GTX/02290-01" u="1"/>
        <s v="GTX/02290-01-01-02" u="1"/>
        <s v="GTX/02290-01-01-03" u="1"/>
        <s v="GTX/02290-01-01-04" u="1"/>
        <s v="GTX/02290-03-01-02" u="1"/>
        <s v="GTX/02290-04-02-07" u="1"/>
        <s v="GTX/02290-08-08-03" u="1"/>
        <s v="GTX/02291-01-01-01" u="1"/>
        <s v="GTX/02291-01-01-04" u="1"/>
        <s v="GTX/02291-01-01-05" u="1"/>
        <s v="GTX/02292-11-02-02" u="1"/>
        <s v="GTX/02293-01-01-01" u="1"/>
        <s v="GTX/02293-01-01-04" u="1"/>
        <s v="GTX/02293-01-01-05" u="1"/>
        <s v="GTX/02293-04-02-02" u="1"/>
        <s v="GTX/02293-10-02-01" u="1"/>
        <s v="GTX/02299-01-01" u="1"/>
        <s v="GTX/02299-01-01-02" u="1"/>
        <s v="GTX/02299-01-01-03" u="1"/>
        <s v="GTX/02299-01-01-04" u="1"/>
        <s v="GTX/02299-01-01-05" u="1"/>
        <s v="GTX/02299-02-03-06" u="1"/>
        <s v="GTX/02299-03-01-02" u="1"/>
        <s v="GTX/02303-01-01-02" u="1"/>
        <s v="GTX/02303-01-01-03" u="1"/>
        <s v="GTX/02303-01-01-04" u="1"/>
        <s v="GTX/02303-08-01-01" u="1"/>
        <s v="GTX/02315-01-01" u="1"/>
        <s v="GTX/02315-01-01-02" u="1"/>
        <s v="GTX/02315-01-01-03" u="1"/>
        <s v="GTX/02315-01-01-04" u="1"/>
        <s v="GTX/02315-02-03-06" u="1"/>
        <s v="GTX/02315-07-02-01" u="1"/>
        <s v="GTX/02406-01-01-01" u="1"/>
        <s v="GTX/02406-01-01-05" u="1"/>
        <s v="GTX/02406-02-02-02" u="1"/>
        <s v="GTX/02406-03-02-02" u="1"/>
        <s v="GTX/02406-04-01-03" u="1"/>
        <s v="GTX/02406-11-02-01" u="1"/>
        <s v="GTX/02463-01-01-01" u="1"/>
        <s v="GTX/02463-08-05-01" u="1"/>
        <s v="GTX/02463-08-07-01" u="1"/>
        <s v="GTX/02463-08-07-09" u="1"/>
        <s v="GTX/02477-01-01-01" u="1"/>
        <s v="GTX/02477-01-01-02" u="1"/>
        <s v="GTX/02477-01-01-03" u="1"/>
        <s v="GTX/02477-01-01-04" u="1"/>
        <s v="GTX/02477-04-01-03" u="1"/>
        <s v="GTX/02543-01-01-01" u="1"/>
        <s v="GTX/02543-01-01-03" u="1"/>
        <s v="GTX/02543-03-02-01" u="1"/>
        <s v="GTX/02543-04-01-03" u="1"/>
        <s v="GTX/02543-08-01-01" u="1"/>
        <s v="GTX/02543-08-01-02" u="1"/>
        <s v="GTX/02543-08-01-06" u="1"/>
        <s v="GTX/02550-01-01" u="1"/>
        <s v="GTX/02552-01-01-04" u="1"/>
        <s v="GTX/02552-02-02-06" u="1"/>
        <s v="GTX/02552-04-01-02" u="1"/>
        <s v="GTX/02552-04-02-07" u="1"/>
        <s v="GTX/02552-11-01-01" u="1"/>
        <s v="GTX/02557-01-01-01" u="1"/>
        <s v="GTX/02557-08-06-01" u="1"/>
        <s v="GTX/02557-08-06-02" u="1"/>
        <s v="GTX/02558-01-01-02" u="1"/>
        <s v="GTX/02558-08-01-06" u="1"/>
        <s v="GTX/02559-04-01-01" u="1"/>
        <s v="GTX/02559-08-01-01" u="1"/>
        <s v="GTX/02560-01-01-02" u="1"/>
        <s v="GTX/02560-03-02-03" u="1"/>
        <s v="GTX/02560-04-01-01" u="1"/>
        <s v="GTX/02560-08-01-06" u="1"/>
        <s v="GTX/02567-04-01-01" u="1"/>
        <s v="GTX/02567-08-10-01" u="1"/>
        <s v="GTX/02679-01-01-04" u="1"/>
        <s v="GTX/02772-01-01-01" u="1"/>
        <s v="GTX/02772-01-01-02" u="1"/>
        <s v="GTX/02772-01-01-03" u="1"/>
        <s v="GTX/02772-02-03-04" u="1"/>
        <s v="GTX/02772-02-03-05" u="1"/>
        <s v="GTX/02772-03-02-01" u="1"/>
        <s v="GTX/02772-04-01-03" u="1"/>
        <s v="GTX/02772-07-02-06" u="1"/>
        <s v="GTX/02772-08-08-01" u="1"/>
        <s v="GTX/02772-08-09-01" u="1"/>
        <s v="GTX/02776-01-01-01" u="1"/>
        <s v="GTX/02776-01-01-03" u="1"/>
        <s v="GTX/02776-02-03-06" u="1"/>
        <s v="GTX/02875-01-01-01" u="1"/>
        <s v="GTX/02875-01-01-05" u="1"/>
        <s v="GTX/02875-03-02-04" u="1"/>
        <s v="GTX/02875-04-01-01" u="1"/>
        <s v="GTX/02876-01-01-01" u="1"/>
        <s v="GTX/02876-01-01-05" u="1"/>
        <s v="GTX/02876-04-01-03" u="1"/>
        <s v="GTX/02876-08-08-08" u="1"/>
        <s v="GTX/02885-01-01-01" u="1"/>
        <s v="GTX/02895-08-01-02" u="1"/>
        <s v="GTX/02896-01-01-02" u="1"/>
        <s v="GTX/02896-02-02-03" u="1"/>
        <s v="GTX/02896-04-02-02" u="1"/>
        <s v="GTX/02896-07-02-02" u="1"/>
        <s v="GTX/02896-08-04-02" u="1"/>
        <s v="GTX/02896-08-09-04" u="1"/>
        <s v="GTX/02950-01-01-02" u="1"/>
        <s v="GTX/03026-08-04-01" u="1"/>
        <s v="GTX/03160-07-02-05" u="1"/>
        <s v="GTX/03231-08-01-02" u="1"/>
        <s v="GTX/03235-08-01-02" u="1"/>
        <s v="GTX/03238-03-02-01" u="1"/>
        <s v="GTX/03238-03-02-02" u="1"/>
        <s v="GTX/03238-04-02-07" u="1"/>
        <s v="GTX/03242-03-02-01" u="1"/>
        <s v="GTX/03242-04-02-07" u="1"/>
        <s v="GTX/03249-04-02-07" u="1"/>
        <s v="GTX/03344-01-01-01" u="1"/>
        <s v="GTX/03357-01-01-02" u="1"/>
        <s v="GTX/03400-01-01-01" u="1"/>
        <s v="GTX/03400-01-01-02" u="1"/>
        <s v="GTX/03400-01-01-03" u="1"/>
        <s v="GTX/03400-02-03-06" u="1"/>
        <s v="GTX/03400-04-01-02" u="1"/>
        <s v="GTX/03400-04-02-03" u="1"/>
        <s v="GTX/03400-07-02-04" u="1"/>
        <s v="GTX/03400-08-01-01" u="1"/>
        <s v="GTX/03400-08-06-01" u="1"/>
        <s v="GTX/03400-08-08-17" u="1"/>
        <s v="GTX/03400-10-02-01" u="1"/>
        <s v="GTX/03459-01-01-02" u="1"/>
        <s v="GTX/03459-08-01-02" u="1"/>
        <s v="GTX/03460-01-01-02" u="1"/>
        <s v="GTX/03460-08-01-02" u="1"/>
        <s v="GTX/03461-08-01-02" u="1"/>
        <s v="GTX/03464-01-01-02" u="1"/>
        <s v="GTX/03464-01-01-03" u="1"/>
        <s v="GTX/03464-03-02-05" u="1"/>
        <s v="GTX/03464-04-02-03" u="1"/>
        <s v="GTX/03464-04-02-06" u="1"/>
        <s v="GTX/03464-07-01-01" u="1"/>
        <s v="GTX/03464-08-01-01" u="1"/>
        <s v="GTX/03465-01-01-02" u="1"/>
        <s v="GTX/03465-01-01-03" u="1"/>
        <s v="GTX/03465-04-01-01" u="1"/>
        <s v="GTX/03465-07-01-01" u="1"/>
        <s v="GTX/03465-08-01-01" u="1"/>
        <s v="GTX/03466-01-01-01" u="1"/>
        <s v="GTX/03466-01-01-02" u="1"/>
        <s v="GTX/03466-01-01-03" u="1"/>
        <s v="GTX/03466-04-01-01" u="1"/>
        <s v="GTX/03466-07-01-01" u="1"/>
        <s v="GTX/03466-08-01-01" u="1"/>
        <s v="GTX/03467-01-01-01" u="1"/>
        <s v="GTX/03467-01-01-02" u="1"/>
        <s v="GTX/03467-01-01-03" u="1"/>
        <s v="GTX/03467-04-01-01" u="1"/>
        <s v="GTX/03467-04-02-06" u="1"/>
        <s v="GTX/03467-07-01-01" u="1"/>
        <s v="GTX/03467-08-01-01" u="1"/>
        <s v="GTX/03468-01-01-01" u="1"/>
        <s v="GTX/03468-01-01-03" u="1"/>
        <s v="GTX/03468-02-01-01" u="1"/>
        <s v="GTX/03468-07-01-01" u="1"/>
        <s v="GTX/03468-08-01-01" u="1"/>
        <s v="GTX/03468-08-01-06" u="1"/>
        <s v="GTX/03511-01-01-02" u="1"/>
        <s v="GTX/03511-01-01-03" u="1"/>
        <s v="GTX/03511-01-01-04" u="1"/>
        <s v="GTX/03511-01-01-05" u="1"/>
        <s v="GTX/03511-02-03-04" u="1"/>
        <s v="GTX/03525-01-01-01" u="1"/>
        <s v="GTX/03525-01-01-02" u="1"/>
        <s v="GTX/03525-01-01-03" u="1"/>
        <s v="GTX/03525-02-02-05" u="1"/>
        <s v="GTX/03525-04-01-01" u="1"/>
        <s v="GTX/03525-04-01-02" u="1"/>
        <s v="GTX/03525-04-02-01" u="1"/>
        <s v="GTX/03525-04-02-05" u="1"/>
        <s v="GTX/03525-07-02-02" u="1"/>
        <s v="GTX/03525-07-02-03" u="1"/>
        <s v="GTX/03525-08-05-04" u="1"/>
        <s v="GTX/03604-01-01-01" u="1"/>
        <s v="GTX/03604-01-01-02" u="1"/>
        <s v="GTX/03604-01-01-04" u="1"/>
        <s v="GTX/03604-08-01-01" u="1"/>
        <s v="GTX/03690-01" u="1"/>
        <s v="GTX/03691-01" u="1"/>
        <s v="GTX/03692-01" u="1"/>
        <s v="GTX/03693-01" u="1"/>
        <s v="GTX/03695-01" u="1"/>
        <s v="GTX/03696-01" u="1"/>
        <s v="GTX/03699-01" u="1"/>
        <s v="GTX/03700-01" u="1"/>
        <s v="GTX/03708-01-01-01" u="1"/>
        <s v="GTX/03708-04-01-03" u="1"/>
        <s v="GTX/03709-01-01-01" u="1"/>
        <s v="GTX/03709-02-02-04" u="1"/>
        <s v="GTX/03709-04-02-02" u="1"/>
        <s v="GTX/03709-04-02-03" u="1"/>
        <s v="GTX/03728-01-01-01" u="1"/>
        <s v="GTX/03728-01-01-02" u="1"/>
        <s v="GTX/03728-04-01-03" u="1"/>
        <s v="GTX/03728-08-01-01" u="1"/>
        <s v="GTX/03808-01" u="1"/>
        <s v="GTX/03816-01-01-01" u="1"/>
        <s v="GTX/03817-01-01-01" u="1"/>
        <s v="GTX/03817-01-01-02" u="1"/>
        <s v="GTX/03817-01-01-03" u="1"/>
        <s v="GTX/03817-02-03-06" u="1"/>
        <s v="GTX/03817-04-02-02" u="1"/>
        <s v="GTX/03817-08-01-01" u="1"/>
        <s v="GTX/03817-08-05-14" u="1"/>
        <s v="GTX/03817-08-08-08" u="1"/>
        <s v="GTX/03846-01-02-04" u="1"/>
        <s v="GTX/03846-01-05-05" u="1"/>
        <s v="GTX/03848-01-01-03" u="1"/>
        <s v="GTX/03848-01-04-01" u="1"/>
        <s v="GTX/03848-01-05-05" u="1"/>
        <s v="GTX/03850-01-05-05" u="1"/>
        <s v="GTX/03880-01-01-01" u="1"/>
        <s v="GTX/03880-01-01-03" u="1"/>
        <s v="GTX/03880-01-01-04" u="1"/>
        <s v="GTX/03880-07-01-01" u="1"/>
        <s v="GTX/03880-07-02-01" u="1"/>
        <s v="GTX/03880-08-01-01" u="1"/>
        <s v="GTX/03880-08-01-06" u="1"/>
        <s v="GTX/03924-07-02-05" u="1"/>
        <s v="GTX/03933-01-01-01" u="1"/>
        <s v="GTX/03933-01-01-03" u="1"/>
        <s v="GTX/03933-01-01-04" u="1"/>
        <s v="GTX/03933-03-02-01" u="1"/>
        <s v="GTX/03933-08-04-01" u="1"/>
        <s v="GTX/03936-01-01-01" u="1"/>
        <s v="GTX/03936-08-04-01" u="1"/>
        <s v="GTX/03941-01-01-03" u="1"/>
        <s v="GTX/03941-01-01-04" u="1"/>
        <s v="GTX/03941-08-04-01" u="1"/>
        <s v="GTX/03942-03-02-02" u="1"/>
        <s v="GTX/03942-08-04-01" u="1"/>
        <s v="GTX/03943-07-02-05" u="1"/>
        <s v="GTX/03945-08-01-02" u="1"/>
        <s v="GTX/03945-08-02-02" u="1"/>
        <s v="GTX/03948-01-01-01" u="1"/>
        <s v="GTX/03948-01-01-02" u="1"/>
        <s v="GTX/03948-01-01-03" u="1"/>
        <s v="GTX/03948-04-02-07" u="1"/>
        <s v="GTX/03949-01-01-03" u="1"/>
        <s v="GTX/03952-04-02-05" u="1"/>
        <s v="GTX/03954-01-01-03" u="1"/>
        <s v="GTX/03956-01-01-03" u="1"/>
        <s v="GTX/03957-01-01-03" u="1"/>
        <s v="GTX/03958-01-01-03" u="1"/>
        <s v="GTX/03960-01-01-03" u="1"/>
        <s v="GTX/03960-04-02-07" u="1"/>
        <s v="GTX/03990-01-01-01" u="1"/>
        <s v="GTX/03990-01-01-03" u="1"/>
        <s v="GTX/03990-02-04-02" u="1"/>
        <s v="GTX/03990-02-04-06" u="1"/>
        <s v="GTX/04103-01-01-01" u="1"/>
        <s v="GTX/04103-01-01-02" u="1"/>
        <s v="GTX/04106-01-01-01" u="1"/>
        <s v="GTX/04106-08-04-01" u="1"/>
        <s v="GTX/04159-01-01-01" u="1"/>
        <s v="GTX/04159-01-01-03" u="1"/>
        <s v="GTX/04159-02-02-01" u="1"/>
        <s v="GTX/04159-04-01-03" u="1"/>
        <s v="GTX/04159-07-01-01" u="1"/>
        <s v="GTX/04222-01-01-01" u="1"/>
        <s v="GTX/04222-04-02-02" u="1"/>
        <s v="GTX/04222-08-01-02" u="1"/>
        <s v="GTX/04222-08-02-01" u="1"/>
        <s v="GTX/04245-01-01-04" u="1"/>
        <s v="GTX/04245-02-04-06" u="1"/>
        <s v="GTX/04245-03-02-02" u="1"/>
        <s v="GTX/04275-01-01-01" u="1"/>
        <s v="GTX/04275-01-01-02" u="1"/>
        <s v="GTX/04275-01-01-03" u="1"/>
        <s v="GTX/04275-04-02-02" u="1"/>
        <s v="GTX/04275-04-02-05" u="1"/>
        <s v="GTX/04343-01-01-01" u="1"/>
        <s v="GTX/04343-01-01-03" u="1"/>
        <s v="GTX/04344-01-01-01" u="1"/>
        <s v="GTX/04344-03-02-01" u="1"/>
        <s v="GTX/04344-07-02-02" u="1"/>
        <s v="GTX/04344-08-01-02" u="1"/>
        <s v="GTX/04347-01-01-04" u="1"/>
        <s v="GTX/04349-01-01-01" u="1"/>
        <s v="GTX/04349-01-01-03" u="1"/>
        <s v="GTX/04349-04-01-02" u="1"/>
        <s v="GTX/04349-07-01-01" u="1"/>
        <s v="GTX/04349-07-02-02" u="1"/>
        <s v="GTX/04349-08-01-02" u="1"/>
        <s v="GTX/04350-01-01-01" u="1"/>
        <s v="GTX/04350-01-01-03" u="1"/>
        <s v="GTX/04350-04-01-02" u="1"/>
        <s v="GTX/04350-07-02-02" u="1"/>
        <s v="GTX/04350-08-01-02" u="1"/>
        <s v="GTX/04350-10-02-01" u="1"/>
        <s v="GTX/04352-01-01-03" u="1"/>
        <s v="GTX/04352-04-01-02" u="1"/>
        <s v="GTX/04352-07-02-02" u="1"/>
        <s v="GTX/04352-08-01-02" u="1"/>
        <s v="GTX/04352-08-01-04" u="1"/>
        <s v="GTX/04359-01-01-01" u="1"/>
        <s v="GTX/04513-01-01-01" u="1"/>
        <s v="GTX/04513-01-01-02" u="1"/>
        <s v="GTX/04513-01-01-03" u="1"/>
        <s v="GTX/04513-08-04-01" u="1"/>
        <s v="GTX/04615-04-01-02" u="1"/>
        <s v="GTX/04615-08-02-03" u="1"/>
        <s v="GTX/04616-08-02-03" u="1"/>
        <s v="GTX/04617-04-01-02" u="1"/>
        <s v="GTX/04661-04-02-03" u="1"/>
        <s v="GTX/04708-08-04-02" u="1"/>
        <s v="GTX/04939-01-01-01" u="1"/>
        <s v="GTX/04959-01-01-03" u="1"/>
        <s v="GTX/04985-01-01-01" u="1"/>
        <s v="GTX/04985-01-01-05" u="1"/>
        <s v="GTX/04985-03-02-02" u="1"/>
        <s v="GTX/04985-04-01-03" u="1"/>
        <s v="GTX/04985-04-02-02" u="1"/>
        <s v="GTX/04985-07-02-05" u="1"/>
        <s v="GTX/04985-08-01-01" u="1"/>
        <s v="GTX/04988-01-01-01" u="1"/>
        <s v="GTX/04988-02-02-01" u="1"/>
        <s v="GTX/04988-03-02-01" u="1"/>
        <s v="GTX/05013-01-01-01" u="1"/>
        <s v="GTX/05013-01-01-03" u="1"/>
        <s v="GTX/05013-07-01-01" u="1"/>
        <s v="GTX/05029-01-01-04" u="1"/>
        <s v="GTX/05029-03-02-02" u="1"/>
        <s v="GTX/05029-08-01-02" u="1"/>
        <s v="GTX/05036-01-01-03" u="1"/>
        <s v="GTX/05036-01-01-04" u="1"/>
        <s v="GTX/05037-01-01-04" u="1"/>
        <s v="GTX/05051-08-04-01" u="1"/>
        <s v="GTX/05060-03-02-02" u="1"/>
        <s v="GTX/05060-04-01-03" u="1"/>
        <s v="GTX/05060-08-01-02" u="1"/>
        <s v="GTX/05089-01-01-01" u="1"/>
        <s v="GTX/05089-01-01-02" u="1"/>
        <s v="GTX/05089-01-01-03" u="1"/>
        <s v="GTX/05089-02-02-05" u="1"/>
        <s v="GTX/05089-02-02-06" u="1"/>
        <s v="GTX/05089-04-02-02" u="1"/>
        <s v="GTX/05089-04-02-03" u="1"/>
        <s v="GTX/05089-07-02-02" u="1"/>
        <s v="GTX/05089-07-02-05" u="1"/>
        <s v="GTX/05099-01-01-01" u="1"/>
        <s v="GTX/05099-01-01-05" u="1"/>
        <s v="GTX/05200-01-01-01" u="1"/>
        <s v="GTX/05200-01-01-03" u="1"/>
        <s v="GTX/05200-01-01-04" u="1"/>
        <s v="GTX/05200-04-02-01" u="1"/>
        <s v="GTX/05200-07-01-01" u="1"/>
        <s v="GTX/05200-08-01-01" u="1"/>
        <s v="GTX/05225-01-01-01" u="1"/>
        <s v="GTX/05225-01-01-02" u="1"/>
        <s v="GTX/05225-01-01-03" u="1"/>
        <s v="GTX/05225-01-01-05" u="1"/>
        <s v="GTX/05225-04-01-02" u="1"/>
        <s v="GTX/05225-04-01-03" u="1"/>
        <s v="GTX/05231-01-01-01" u="1"/>
        <s v="GTX/05231-01-01-02" u="1"/>
        <s v="GTX/05231-01-01-03" u="1"/>
        <s v="GTX/05231-01-01-06" u="1"/>
        <s v="GTX/05231-02-02-01" u="1"/>
        <s v="GTX/05231-02-02-06" u="1"/>
        <s v="GTX/05231-04-02-02" u="1"/>
        <s v="GTX/05231-04-02-03" u="1"/>
        <s v="GTX/05231-04-02-07" u="1"/>
        <s v="GTX/05231-07-02-02" u="1"/>
        <s v="GTX/05231-07-02-05" u="1"/>
        <s v="GTX/05240-01-01-01" u="1"/>
        <s v="GTX/05240-01-01-03" u="1"/>
        <s v="GTX/05240-04-01-01" u="1"/>
        <s v="GTX/05240-07-01-01" u="1"/>
        <s v="GTX/05242-01-01-01" u="1"/>
        <s v="GTX/05242-01-01-02" u="1"/>
        <s v="GTX/05242-01-01-03" u="1"/>
        <s v="GTX/05242-01-01-04" u="1"/>
        <s v="GTX/05242-04-01-01" u="1"/>
        <s v="GTX/05242-04-01-02" u="1"/>
        <s v="GTX/05242-04-01-03" u="1"/>
        <s v="GTX/05242-08-01-01" u="1"/>
        <s v="GTX/05242-08-04-02" u="1"/>
        <s v="GTX/05249-11-02-01" u="1"/>
        <s v="GTX/05253-01" u="1"/>
        <s v="GTX/05253-01-01-02" u="1"/>
        <s v="GTX/05253-01-01-03" u="1"/>
        <s v="GTX/05253-01-01-04" u="1"/>
        <s v="GTX/05253-01-02-03" u="1"/>
        <s v="GTX/05253-02-01-02" u="1"/>
        <s v="GTX/05253-02-01-03" u="1"/>
        <s v="GTX/05253-02-01-04" u="1"/>
        <s v="GTX/05253-03-01-03" u="1"/>
        <s v="GTX/05253-03-02-03" u="1"/>
        <s v="GTX/05253-04-01-02" u="1"/>
        <s v="GTX/05253-04-01-03" u="1"/>
        <s v="GTX/05253-04-02-04" u="1"/>
        <s v="GTX/05253-04-02-05" u="1"/>
        <s v="GTX/05253-06-02-04" u="1"/>
        <s v="GTX/05253-07-01-01" u="1"/>
        <s v="GTX/05253-07-02-06" u="1"/>
        <s v="GTX/05253-08-01-01" u="1"/>
        <s v="GTX/05253-08-02-01" u="1"/>
        <s v="GTX/05253-08-04-01" u="1"/>
        <s v="GTX/05253-08-05-01" u="1"/>
        <s v="GTX/05253-08-06-02" u="1"/>
        <s v="GTX/05253-10-02-01" u="1"/>
        <s v="GTX/05253-11-02-01" u="1"/>
        <s v="GTX/05255-01-01-01" u="1"/>
        <s v="GTX/05255-01-01-02" u="1"/>
        <s v="GTX/05255-07-01-01" u="1"/>
        <s v="GTX/05261-01-01-01" u="1"/>
        <s v="GTX/05261-07-01-01" u="1"/>
        <s v="GTX/05262-01-01-03" u="1"/>
        <s v="GTX/05262-04-01-02" u="1"/>
        <s v="GTX/05262-07-01-01" u="1"/>
        <s v="GTX/05263-01-01-01" u="1"/>
        <s v="GTX/05263-01-01-03" u="1"/>
        <s v="GTX/05263-04-01-02" u="1"/>
        <s v="GTX/05263-07-01-01" u="1"/>
        <s v="GTX/05264-01-01-01" u="1"/>
        <s v="GTX/05264-01-01-03" u="1"/>
        <s v="GTX/05264-02-02-06" u="1"/>
        <s v="GTX/05264-04-01-02" u="1"/>
        <s v="GTX/05264-07-01-01" u="1"/>
        <s v="GTX/05265-01-01-01" u="1"/>
        <s v="GTX/05265-01-01-02" u="1"/>
        <s v="GTX/05265-01-01-03" u="1"/>
        <s v="GTX/05265-07-01-01" u="1"/>
        <s v="GTX/05266-01-01-01" u="1"/>
        <s v="GTX/05266-01-01-03" u="1"/>
        <s v="GTX/05266-02-02-06" u="1"/>
        <s v="GTX/05266-04-01-02" u="1"/>
        <s v="GTX/05266-07-01-01" u="1"/>
        <s v="GTX/05282-01-01-01" u="1"/>
        <s v="GTX/05282-02-02-02" u="1"/>
        <s v="GTX/05282-08-07-02" u="1"/>
        <s v="GTX/05315-01" u="1"/>
        <s v="GTX/05315-01-01-01" u="1"/>
        <s v="GTX/05315-01-01-02" u="1"/>
        <s v="GTX/05315-01-01-03" u="1"/>
        <s v="GTX/05315-01-01-04" u="1"/>
        <s v="GTX/05315-01-01-06" u="1"/>
        <s v="GTX/05315-02-01-01" u="1"/>
        <s v="GTX/05315-02-01-02" u="1"/>
        <s v="GTX/05315-02-01-03" u="1"/>
        <s v="GTX/05315-02-01-04" u="1"/>
        <s v="GTX/05315-02-02-03" u="1"/>
        <s v="GTX/05315-02-04-06" u="1"/>
        <s v="GTX/05315-03-01-03" u="1"/>
        <s v="GTX/05315-03-02-01" u="1"/>
        <s v="GTX/05315-04-01-02" u="1"/>
        <s v="GTX/05315-04-01-03" u="1"/>
        <s v="GTX/05315-04-02-04" u="1"/>
        <s v="GTX/05315-07-01-01" u="1"/>
        <s v="GTX/05316-01-01-01" u="1"/>
        <s v="GTX/05316-01-01-03" u="1"/>
        <s v="GTX/05316-01-01-04" u="1"/>
        <s v="GTX/05316-02-03-06" u="1"/>
        <s v="GTX/05316-04-02-06" u="1"/>
        <s v="GTX/05333-02-02-03" u="1"/>
        <s v="GTX/05391-01-01-01" u="1"/>
        <s v="GTX/05391-02-03-06" u="1"/>
        <s v="GTX/05397-01-01-02" u="1"/>
        <s v="GTX/05397-01-05-02" u="1"/>
        <s v="GTX/05397-01-05-03" u="1"/>
        <s v="GTX/05397-01-05-05" u="1"/>
        <s v="GTX/05398-01-05-05" u="1"/>
        <s v="GTX/05407-01-01-01" u="1"/>
        <s v="GTX/05407-01-01-05" u="1"/>
        <s v="GTX/05442-02-02-02" u="1"/>
        <s v="GTX/05461-01-01-01" u="1"/>
        <s v="GTX/05461-01-01-03" u="1"/>
        <s v="GTX/05461-07-01-01" u="1"/>
        <s v="GTX/05489-01-01-01" u="1"/>
        <s v="GTX/05489-04-01-03" u="1"/>
        <s v="GTX/05490-01-01-01" u="1"/>
        <s v="GTX/05563-03-02-02" u="1"/>
        <s v="GTX/05563-08-04-01" u="1"/>
        <s v="GTX/05564-01-01-03" u="1"/>
        <s v="GTX/05564-01-02-02" u="1"/>
        <s v="GTX/05564-03-02-02" u="1"/>
        <s v="GTX/05564-04-02-02" u="1"/>
        <s v="GTX/05564-07-01-01" u="1"/>
        <s v="GTX/05564-08-01-02" u="1"/>
        <s v="GTX/05564-08-04-01" u="1"/>
        <s v="GTX/05572-07-02-05" u="1"/>
        <s v="GTX/05595-01-01-01" u="1"/>
        <s v="GTX/05622-01-02-01" u="1"/>
        <s v="GTX/05705-01-01-01" u="1"/>
        <s v="GTX/05705-01-01-02" u="1"/>
        <s v="GTX/05705-01-01-03" u="1"/>
        <s v="GTX/05705-01-01-04" u="1"/>
        <s v="GTX/05705-02-03-01" u="1"/>
        <s v="GTX/05705-04-02-01" u="1"/>
        <s v="GTX/05705-07-01-01" u="1"/>
        <s v="GTX/05714-01-01-01" u="1"/>
        <s v="GTX/05714-01-01-02" u="1"/>
        <s v="GTX/05714-01-01-04" u="1"/>
        <s v="GTX/05714-01-01-06" u="1"/>
        <s v="GTX/05714-01-01-07" u="1"/>
        <s v="GTX/05814-01-01-01" u="1"/>
        <s v="GTX/05814-01-01-03" u="1"/>
        <s v="GTX/05814-01-01-04" u="1"/>
        <s v="GTX/05814-02-02-06" u="1"/>
        <s v="GTX/05814-02-03-06" u="1"/>
        <s v="GTX/05815-01-01-01" u="1"/>
        <s v="GTX/05815-01-01-02" u="1"/>
        <s v="GTX/05815-01-01-03" u="1"/>
        <s v="GTX/05815-01-01-04" u="1"/>
        <s v="GTX/05815-01-01-06" u="1"/>
        <s v="GTX/05815-02-03-06" u="1"/>
        <s v="GTX/05815-07-01-01" u="1"/>
        <s v="GTX/05817-01-01-02" u="1"/>
        <s v="GTX/05817-01-01-03" u="1"/>
        <s v="GTX/05817-04-02-04" u="1"/>
        <s v="GTX/05826-01-01-02" u="1"/>
        <s v="GTX/05826-03-02-01" u="1"/>
        <s v="GTX/05826-08-06-04" u="1"/>
        <s v="GTX/05827-01-01-01" u="1"/>
        <s v="GTX/05827-01-02-01" u="1"/>
        <s v="GTX/05827-02-02-04" u="1"/>
        <s v="GTX/05827-03-02-02" u="1"/>
        <s v="GTX/05827-08-01-02" u="1"/>
        <s v="GTX/05827-08-02-02" u="1"/>
        <s v="GTX/05827-09-01-02" u="1"/>
        <s v="GTX/05847-01-01-01" u="1"/>
        <s v="GTX/05847-01-01-02" u="1"/>
        <s v="GTX/05847-01-01-03" u="1"/>
        <s v="GTX/05847-01-02-01" u="1"/>
        <s v="GTX/05847-04-02-03" u="1"/>
        <s v="GTX/05847-04-02-04" u="1"/>
        <s v="GTX/05847-06-02-02" u="1"/>
        <s v="GTX/05851-01-01-01" u="1"/>
        <s v="GTX/05851-01-01-02" u="1"/>
        <s v="GTX/05851-01-01-03" u="1"/>
        <s v="GTX/05851-02-01-01" u="1"/>
        <s v="GTX/05851-02-01-02" u="1"/>
        <s v="GTX/05851-03-01-01" u="1"/>
        <s v="GTX/05851-03-01-03" u="1"/>
        <s v="GTX/05851-03-02-01" u="1"/>
        <s v="GTX/05851-03-02-02" u="1"/>
        <s v="GTX/05851-03-02-04" u="1"/>
        <s v="GTX/05851-04-01-03" u="1"/>
        <s v="GTX/05851-04-02-02" u="1"/>
        <s v="GTX/05851-07-02-05" u="1"/>
        <s v="GTX/05852-01-01-01" u="1"/>
        <s v="GTX/05852-01-01-02" u="1"/>
        <s v="GTX/05852-01-01-03" u="1"/>
        <s v="GTX/05852-01-01-04" u="1"/>
        <s v="GTX/05852-02-03-01" u="1"/>
        <s v="GTX/05852-02-03-03" u="1"/>
        <s v="GTX/05852-02-03-04" u="1"/>
        <s v="GTX/05852-03-02-01" u="1"/>
        <s v="GTX/05855-01-01-01" u="1"/>
        <s v="GTX/05855-01-01-03" u="1"/>
        <s v="GTX/05855-03-01-02" u="1"/>
        <s v="GTX/05855-04-01-01" u="1"/>
        <s v="GTX/05855-04-01-02" u="1"/>
        <s v="GTX/05855-04-02-05" u="1"/>
        <s v="GTX/05855-08-01-01" u="1"/>
        <s v="GTX/05856-01-01-03" u="1"/>
        <s v="GTX/05856-02-03-06" u="1"/>
        <s v="GTX/05857-01-01-01" u="1"/>
        <s v="GTX/05857-01-01-03" u="1"/>
        <s v="GTX/05857-01-01-04" u="1"/>
        <s v="GTX/05857-04-01-03" u="1"/>
        <s v="GTX/05857-04-02" u="1"/>
        <s v="GTX/05859-01" u="1"/>
        <s v="GTX/05955-01-01-01" u="1"/>
        <s v="GTX/05955-01-01-02" u="1"/>
        <s v="GTX/05955-01-01-03" u="1"/>
        <s v="GTX/05955-01-01-04" u="1"/>
        <s v="GTX/05955-01-02-03" u="1"/>
        <s v="GTX/05955-02-02-01" u="1"/>
        <s v="GTX/05955-02-02-06" u="1"/>
        <s v="GTX/05955-02-03-03" u="1"/>
        <s v="GTX/05955-02-03-04" u="1"/>
        <s v="GTX/05983-01-01-01" u="1"/>
        <s v="GTX/05983-01-01-02" u="1"/>
        <s v="GTX/05983-01-01-03" u="1"/>
        <s v="GTX/05983-02-02-05" u="1"/>
        <s v="GTX/05983-02-03-01" u="1"/>
        <s v="GTX/05983-02-03-03" u="1"/>
        <s v="GTX/05987-01-03-01" u="1"/>
        <s v="GTX/05988-01-01-01" u="1"/>
        <s v="GTX/05988-01-01-05" u="1"/>
        <s v="GTX/05988-04-01-03" u="1"/>
        <s v="GTX/05989-01-01-01" u="1"/>
        <s v="GTX/05989-01-01-05" u="1"/>
        <s v="GTX/05989-07-02-06" u="1"/>
        <s v="GTX/06018-01-01-01" u="1"/>
        <s v="GTX/06018-01-01-02" u="1"/>
        <s v="GTX/06018-01-01-03" u="1"/>
        <s v="GTX/06018-01-01-04" u="1"/>
        <s v="GTX/06018-07-02-03" u="1"/>
        <s v="GTX/06175-01-01-01" u="1"/>
        <s v="GTX/06175-01-01-02" u="1"/>
        <s v="GTX/06175-01-01-03" u="1"/>
        <s v="GTX/06175-01-01-04" u="1"/>
        <s v="GTX/06175-01-01-06" u="1"/>
        <s v="GTX/06175-02-02-03" u="1"/>
        <s v="GTX/06220-01-01-02" u="1"/>
        <s v="GTX/06222-01-01-02" u="1"/>
        <s v="GTX/06228-01-01-02" u="1"/>
        <s v="GTX/06229-01-01-02" u="1"/>
        <s v="GTX/06231-01-01-02" u="1"/>
        <s v="GTX/06232-01-01-02" u="1"/>
        <s v="GTX/06234-01-01-02" u="1"/>
        <s v="GTX/06236-01-01-02" u="1"/>
        <s v="GTX/06237-01-01-02" u="1"/>
        <s v="GTX/06274-04-01-03" u="1"/>
        <s v="GTX/06280-01-01-02" u="1"/>
        <s v="GTX/06311-01-01-02" u="1"/>
        <s v="GTX/06312-01-01-02" u="1"/>
        <s v="GTX/06312-04-02-02" u="1"/>
        <s v="GTX/06318-01-01-02" u="1"/>
        <s v="GTX/06379-08-07-05" u="1"/>
        <s v="GTX/06402-01-01-01" u="1"/>
        <s v="GTX/06402-01-01-02" u="1"/>
        <s v="GTX/06402-01-01-03" u="1"/>
        <s v="GTX/06402-01-02-03" u="1"/>
        <s v="GTX/06402-02-01-03" u="1"/>
        <s v="GTX/06402-03-02-01" u="1"/>
        <s v="GTX/06402-04-02-01" u="1"/>
        <s v="GTX/06402-04-02-06" u="1"/>
        <s v="GTX/06470-04-01-02" u="1"/>
        <s v="GTX/06471-04-02-07" u="1"/>
        <s v="GTX/06476-01-01-01" u="1"/>
        <s v="GTX/06521-01-01-02" u="1"/>
        <s v="GTX/06521-04-02-02" u="1"/>
        <s v="GTX/06522-01-01-02" u="1"/>
        <s v="GTX/06522-04-02-02" u="1"/>
        <s v="GTX/06523-01-01-02" u="1"/>
        <s v="GTX/06523-04-01-02" u="1"/>
        <s v="GTX/06523-04-02-02" u="1"/>
        <s v="GTX/06544-01-01-02" u="1"/>
        <s v="GTX/06544-01-01-03" u="1"/>
        <s v="GTX/06544-02-03-04" u="1"/>
        <s v="GTX/06558-01-01-03" u="1"/>
        <s v="GTX/06576-08-01-02" u="1"/>
        <s v="GTX/06580-08-01-01" u="1"/>
        <s v="GTX/06581-08-01-01" u="1"/>
        <s v="GTX/06583-08-01-01" u="1"/>
        <s v="GTX/06594-01-01-02" u="1"/>
        <s v="GTX/06596-08-01-02" u="1"/>
        <s v="GTX/06600-08-01-02" u="1"/>
        <s v="GTX/06602-01-01-01" u="1"/>
        <s v="GTX/06602-01-01-02" u="1"/>
        <s v="GTX/06602-02-02-06" u="1"/>
        <s v="GTX/06602-04-01-03" u="1"/>
        <s v="GTX/06602-08-01-01" u="1"/>
        <s v="GTX/06602-08-04-06" u="1"/>
        <s v="GTX/06603-04-01-03" u="1"/>
        <s v="GTX/06615-01-01-03" u="1"/>
        <s v="GTX/06616-01-01-02" u="1"/>
        <s v="GTX/06616-01-01-03" u="1"/>
        <s v="GTX/06617-01-01-03" u="1"/>
        <s v="GTX/06618-01-01-03" u="1"/>
        <s v="GTX/06619-01-01-02" u="1"/>
        <s v="GTX/06619-01-01-03" u="1"/>
        <s v="GTX/06619-02-02" u="1"/>
        <s v="GTX/06620-01-01-01" u="1"/>
        <s v="GTX/06620-01-01-02" u="1"/>
        <s v="GTX/06620-08-08-05" u="1"/>
        <s v="GTX/06625-01-01-01" u="1"/>
        <s v="GTX/06625-01-01-02" u="1"/>
        <s v="GTX/06625-01-01-03" u="1"/>
        <s v="GTX/06625-02-01-01" u="1"/>
        <s v="GTX/06625-02-01-02" u="1"/>
        <s v="GTX/06625-02-01-03" u="1"/>
        <s v="GTX/06625-03-01-03" u="1"/>
        <s v="GTX/06625-03-02-02" u="1"/>
        <s v="GTX/06625-03-02-04" u="1"/>
        <s v="GTX/06625-04-02-02" u="1"/>
        <s v="GTX/06625-07-02-05" u="1"/>
        <s v="GTX/06626-01-01-03" u="1"/>
        <s v="GTX/06639-01-01-01" u="1"/>
        <s v="GTX/06639-01-01-02" u="1"/>
        <s v="GTX/06639-01-01-03" u="1"/>
        <s v="GTX/06639-01-01-04" u="1"/>
        <s v="GTX/06639-02-02-01" u="1"/>
        <s v="GTX/06639-02-02-02" u="1"/>
        <s v="GTX/06639-03-02-02" u="1"/>
        <s v="GTX/06639-04-02-01" u="1"/>
        <s v="GTX/06639-04-02-02" u="1"/>
        <s v="GTX/06639-04-02-03" u="1"/>
        <s v="GTX/06639-04-02-04" u="1"/>
        <s v="GTX/06639-07-02-05" u="1"/>
        <s v="GTX/06639-08-01-02" u="1"/>
        <s v="GTX/06639-08-04-01" u="1"/>
        <s v="GTX/06640-01-01-01" u="1"/>
        <s v="GTX/06640-01-01-02" u="1"/>
        <s v="GTX/06640-01-01-03" u="1"/>
        <s v="GTX/06640-01-01-04" u="1"/>
        <s v="GTX/06640-02-02-01" u="1"/>
        <s v="GTX/06640-02-02-02" u="1"/>
        <s v="GTX/06640-03-02-02" u="1"/>
        <s v="GTX/06640-04-02-01" u="1"/>
        <s v="GTX/06640-04-02-02" u="1"/>
        <s v="GTX/06640-04-02-03" u="1"/>
        <s v="GTX/06640-04-02-04" u="1"/>
        <s v="GTX/06640-07-02-05" u="1"/>
        <s v="GTX/06640-08-01-02" u="1"/>
        <s v="GTX/06640-08-04-01" u="1"/>
        <s v="GTX/06641-01-01-01" u="1"/>
        <s v="GTX/06641-01-01-02" u="1"/>
        <s v="GTX/06641-01-01-03" u="1"/>
        <s v="GTX/06641-01-01-04" u="1"/>
        <s v="GTX/06641-02-02-01" u="1"/>
        <s v="GTX/06641-04-02-02" u="1"/>
        <s v="GTX/06641-04-02-04" u="1"/>
        <s v="GTX/06641-04-02-06" u="1"/>
        <s v="GTX/06641-07-02-05" u="1"/>
        <s v="GTX/06642-01-01-01" u="1"/>
        <s v="GTX/06642-01-01-02" u="1"/>
        <s v="GTX/06642-01-01-03" u="1"/>
        <s v="GTX/06642-01-01-04" u="1"/>
        <s v="GTX/06642-02-02-01" u="1"/>
        <s v="GTX/06642-02-02-02" u="1"/>
        <s v="GTX/06642-03-02-02" u="1"/>
        <s v="GTX/06642-04-02-01" u="1"/>
        <s v="GTX/06642-04-02-02" u="1"/>
        <s v="GTX/06642-04-02-03" u="1"/>
        <s v="GTX/06642-07-02-05" u="1"/>
        <s v="GTX/06642-08-01-02" u="1"/>
        <s v="GTX/06642-08-04-01" u="1"/>
        <s v="GTX/06643-01-01-01" u="1"/>
        <s v="GTX/06643-01-01-02" u="1"/>
        <s v="GTX/06643-01-01-03" u="1"/>
        <s v="GTX/06643-01-01-04" u="1"/>
        <s v="GTX/06643-02-02-01" u="1"/>
        <s v="GTX/06643-02-02-02" u="1"/>
        <s v="GTX/06643-03-02-02" u="1"/>
        <s v="GTX/06643-04-02-01" u="1"/>
        <s v="GTX/06643-04-02-02" u="1"/>
        <s v="GTX/06643-04-02-03" u="1"/>
        <s v="GTX/06643-07-02-05" u="1"/>
        <s v="GTX/06643-08-01-02" u="1"/>
        <s v="GTX/06643-08-04-01" u="1"/>
        <s v="GTX/06644-01-01-01" u="1"/>
        <s v="GTX/06644-01-01-02" u="1"/>
        <s v="GTX/06644-01-01-03" u="1"/>
        <s v="GTX/06644-01-01-04" u="1"/>
        <s v="GTX/06644-02-02-01" u="1"/>
        <s v="GTX/06644-02-02-02" u="1"/>
        <s v="GTX/06644-04-02-01" u="1"/>
        <s v="GTX/06644-04-02-02" u="1"/>
        <s v="GTX/06644-04-02-03" u="1"/>
        <s v="GTX/06644-07-02-05" u="1"/>
        <s v="GTX/06645-01-01-01" u="1"/>
        <s v="GTX/06645-01-01-02" u="1"/>
        <s v="GTX/06645-01-01-03" u="1"/>
        <s v="GTX/06645-01-01-04" u="1"/>
        <s v="GTX/06645-02-02-02" u="1"/>
        <s v="GTX/06645-03-02-01" u="1"/>
        <s v="GTX/06645-04-01-02" u="1"/>
        <s v="GTX/06645-04-02-01" u="1"/>
        <s v="GTX/06645-04-02-02" u="1"/>
        <s v="GTX/06645-04-02-04" u="1"/>
        <s v="GTX/06645-07-02-05" u="1"/>
        <s v="GTX/06645-08-01-02" u="1"/>
        <s v="GTX/06646-01-01-01" u="1"/>
        <s v="GTX/06646-01-01-02" u="1"/>
        <s v="GTX/06646-01-01-03" u="1"/>
        <s v="GTX/06646-01-01-04" u="1"/>
        <s v="GTX/06646-02-02-02" u="1"/>
        <s v="GTX/06646-03-02-01" u="1"/>
        <s v="GTX/06646-04-01-02" u="1"/>
        <s v="GTX/06646-04-02-01" u="1"/>
        <s v="GTX/06646-04-02-02" u="1"/>
        <s v="GTX/06646-04-02-04" u="1"/>
        <s v="GTX/06646-08-01-02" u="1"/>
        <s v="GTX/06647-01-01-01" u="1"/>
        <s v="GTX/06647-01-01-02" u="1"/>
        <s v="GTX/06647-01-01-03" u="1"/>
        <s v="GTX/06647-01-01-04" u="1"/>
        <s v="GTX/06647-02-02-02" u="1"/>
        <s v="GTX/06647-03-02-01" u="1"/>
        <s v="GTX/06647-04-01-02" u="1"/>
        <s v="GTX/06647-04-02-01" u="1"/>
        <s v="GTX/06647-04-02-02" u="1"/>
        <s v="GTX/06647-04-02-04" u="1"/>
        <s v="GTX/06647-07-02-05" u="1"/>
        <s v="GTX/06647-08-01-02" u="1"/>
        <s v="GTX/06647-08-02-02" u="1"/>
        <s v="GTX/06648-01-01-01" u="1"/>
        <s v="GTX/06648-01-01-02" u="1"/>
        <s v="GTX/06648-01-01-03" u="1"/>
        <s v="GTX/06648-01-01-04" u="1"/>
        <s v="GTX/06648-03-02-01" u="1"/>
        <s v="GTX/06648-04-02-04" u="1"/>
        <s v="GTX/06648-04-02-05" u="1"/>
        <s v="GTX/06648-08-01-02" u="1"/>
        <s v="GTX/06649-01-01-01" u="1"/>
        <s v="GTX/06649-01-01-02" u="1"/>
        <s v="GTX/06649-01-01-03" u="1"/>
        <s v="GTX/06649-01-01-04" u="1"/>
        <s v="GTX/06649-02-02-02" u="1"/>
        <s v="GTX/06649-03-02-01" u="1"/>
        <s v="GTX/06649-03-02-02" u="1"/>
        <s v="GTX/06649-04-01-02" u="1"/>
        <s v="GTX/06649-04-02-01" u="1"/>
        <s v="GTX/06649-04-02-02" u="1"/>
        <s v="GTX/06649-04-02-04" u="1"/>
        <s v="GTX/06649-07-02-05" u="1"/>
        <s v="GTX/06649-08-01-02" u="1"/>
        <s v="GTX/06650-01-01-01" u="1"/>
        <s v="GTX/06650-01-01-03" u="1"/>
        <s v="GTX/06650-01-01-04" u="1"/>
        <s v="GTX/06650-02-02-02" u="1"/>
        <s v="GTX/06650-03-02-01" u="1"/>
        <s v="GTX/06650-04-01-02" u="1"/>
        <s v="GTX/06650-04-02-01" u="1"/>
        <s v="GTX/06650-04-02-02" u="1"/>
        <s v="GTX/06650-04-02-04" u="1"/>
        <s v="GTX/06650-07-02-05" u="1"/>
        <s v="GTX/06650-08-01-02" u="1"/>
        <s v="GTX/06651-01-01-01" u="1"/>
        <s v="GTX/06651-01-01-03" u="1"/>
        <s v="GTX/06651-01-01-04" u="1"/>
        <s v="GTX/06651-02-02-02" u="1"/>
        <s v="GTX/06651-03-02-01" u="1"/>
        <s v="GTX/06651-04-01-02" u="1"/>
        <s v="GTX/06651-04-02-02" u="1"/>
        <s v="GTX/06651-04-02-04" u="1"/>
        <s v="GTX/06651-08-01-02" u="1"/>
        <s v="GTX/06652-01-01-03" u="1"/>
        <s v="GTX/06652-02-02-02" u="1"/>
        <s v="GTX/06652-04-02-01" u="1"/>
        <s v="GTX/06652-04-02-02" u="1"/>
        <s v="GTX/06652-07-02-05" u="1"/>
        <s v="GTX/06652-08-01-02" u="1"/>
        <s v="GTX/06653-01-01-01" u="1"/>
        <s v="GTX/06653-01-01-02" u="1"/>
        <s v="GTX/06653-01-01-03" u="1"/>
        <s v="GTX/06653-01-01-04" u="1"/>
        <s v="GTX/06653-03-02-01" u="1"/>
        <s v="GTX/06653-04-01-02" u="1"/>
        <s v="GTX/06653-04-02-01" u="1"/>
        <s v="GTX/06653-04-02-02" u="1"/>
        <s v="GTX/06653-04-02-04" u="1"/>
        <s v="GTX/06653-04-02-05" u="1"/>
        <s v="GTX/06653-04-02-06" u="1"/>
        <s v="GTX/06653-04-02-07" u="1"/>
        <s v="GTX/06653-06-02-04" u="1"/>
        <s v="GTX/06653-07-02-02" u="1"/>
        <s v="GTX/06653-07-02-06" u="1"/>
        <s v="GTX/06653-08-01-02" u="1"/>
        <s v="GTX/06653-08-02-03" u="1"/>
        <s v="GTX/06653-08-05-12" u="1"/>
        <s v="GTX/06653-08-08-11" u="1"/>
        <s v="GTX/06654-01-01-01" u="1"/>
        <s v="GTX/06654-01-01-03" u="1"/>
        <s v="GTX/06654-01-01-04" u="1"/>
        <s v="GTX/06654-02-02-02" u="1"/>
        <s v="GTX/06654-03-02-01" u="1"/>
        <s v="GTX/06654-04-01-02" u="1"/>
        <s v="GTX/06654-04-02-01" u="1"/>
        <s v="GTX/06654-04-02-02" u="1"/>
        <s v="GTX/06654-04-02-04" u="1"/>
        <s v="GTX/06654-08-01-02" u="1"/>
        <s v="GTX/06655-01-01-01" u="1"/>
        <s v="GTX/06655-01-01-03" u="1"/>
        <s v="GTX/06655-01-01-04" u="1"/>
        <s v="GTX/06655-02-02-02" u="1"/>
        <s v="GTX/06655-03-02-01" u="1"/>
        <s v="GTX/06655-04-01-02" u="1"/>
        <s v="GTX/06655-04-02-01" u="1"/>
        <s v="GTX/06655-04-02-02" u="1"/>
        <s v="GTX/06655-04-02-04" u="1"/>
        <s v="GTX/06655-08-01-02" u="1"/>
        <s v="GTX/06656-01-01-01" u="1"/>
        <s v="GTX/06656-01-01-04" u="1"/>
        <s v="GTX/06656-02-02-02" u="1"/>
        <s v="GTX/06656-03-02-01" u="1"/>
        <s v="GTX/06656-04-02-01" u="1"/>
        <s v="GTX/06656-04-02-02" u="1"/>
        <s v="GTX/06656-08-01-02" u="1"/>
        <s v="GTX/06657-01-01-02" u="1"/>
        <s v="GTX/06657-01-01-03" u="1"/>
        <s v="GTX/06657-01-01-04" u="1"/>
        <s v="GTX/06657-02-02-01" u="1"/>
        <s v="GTX/06657-03-02-01" u="1"/>
        <s v="GTX/06657-04-02-04" u="1"/>
        <s v="GTX/06657-04-02-07" u="1"/>
        <s v="GTX/06657-08-01-02" u="1"/>
        <s v="GTX/06658-01-01-01" u="1"/>
        <s v="GTX/06658-01-01-02" u="1"/>
        <s v="GTX/06658-01-01-03" u="1"/>
        <s v="GTX/06658-01-01-04" u="1"/>
        <s v="GTX/06658-02-02-01" u="1"/>
        <s v="GTX/06658-04-01-02" u="1"/>
        <s v="GTX/06658-04-02-01" u="1"/>
        <s v="GTX/06658-04-02-02" u="1"/>
        <s v="GTX/06658-04-02-04" u="1"/>
        <s v="GTX/06658-04-02-07" u="1"/>
        <s v="GTX/06658-08-01-02" u="1"/>
        <s v="GTX/06658-08-02-02" u="1"/>
        <s v="GTX/06658-08-08-06" u="1"/>
        <s v="GTX/06659-01-01-01" u="1"/>
        <s v="GTX/06659-01-01-02" u="1"/>
        <s v="GTX/06659-01-01-03" u="1"/>
        <s v="GTX/06659-01-01-04" u="1"/>
        <s v="GTX/06659-01-02-03" u="1"/>
        <s v="GTX/06659-02-02-02" u="1"/>
        <s v="GTX/06659-03-02-01" u="1"/>
        <s v="GTX/06659-04-01-03" u="1"/>
        <s v="GTX/06659-04-02-01" u="1"/>
        <s v="GTX/06659-04-02-03" u="1"/>
        <s v="GTX/06659-04-02-04" u="1"/>
        <s v="GTX/06659-04-02-06" u="1"/>
        <s v="GTX/06659-08-01-02" u="1"/>
        <s v="GTX/06659-08-02-02" u="1"/>
        <s v="GTX/06659-08-08-05" u="1"/>
        <s v="GTX/06659-09-02-03" u="1"/>
        <s v="GTX/06660-01-01-01" u="1"/>
        <s v="GTX/06660-01-01-02" u="1"/>
        <s v="GTX/06660-01-01-03" u="1"/>
        <s v="GTX/06660-01-01-04" u="1"/>
        <s v="GTX/06660-02-02-02" u="1"/>
        <s v="GTX/06660-03-02-01" u="1"/>
        <s v="GTX/06660-04-01-02" u="1"/>
        <s v="GTX/06660-04-02-01" u="1"/>
        <s v="GTX/06660-04-02-02" u="1"/>
        <s v="GTX/06660-04-02-04" u="1"/>
        <s v="GTX/06660-04-02-05" u="1"/>
        <s v="GTX/06660-08-01-02" u="1"/>
        <s v="GTX/06660-08-02-02" u="1"/>
        <s v="GTX/06661-01-01-02" u="1"/>
        <s v="GTX/06661-01-01-03" u="1"/>
        <s v="GTX/06661-01-01-04" u="1"/>
        <s v="GTX/06661-02-02-01" u="1"/>
        <s v="GTX/06661-04-02-04" u="1"/>
        <s v="GTX/06661-07-02-05" u="1"/>
        <s v="GTX/06662-01-01-02" u="1"/>
        <s v="GTX/06662-01-01-03" u="1"/>
        <s v="GTX/06662-01-01-04" u="1"/>
        <s v="GTX/06662-02-02-01" u="1"/>
        <s v="GTX/06662-02-02-02" u="1"/>
        <s v="GTX/06662-04-02-01" u="1"/>
        <s v="GTX/06662-04-02-02" u="1"/>
        <s v="GTX/06662-04-02-03" u="1"/>
        <s v="GTX/06662-07-02-05" u="1"/>
        <s v="GTX/06663-01-01-03" u="1"/>
        <s v="GTX/06663-01-01-04" u="1"/>
        <s v="GTX/06663-02-02-01" u="1"/>
        <s v="GTX/06663-04-02-04" u="1"/>
        <s v="GTX/06663-07-02-05" u="1"/>
        <s v="GTX/06664-01-01-01" u="1"/>
        <s v="GTX/06664-01-01-02" u="1"/>
        <s v="GTX/06664-01-01-03" u="1"/>
        <s v="GTX/06664-01-01-04" u="1"/>
        <s v="GTX/06664-02-02-01" u="1"/>
        <s v="GTX/06664-02-02-02" u="1"/>
        <s v="GTX/06664-04-02-01" u="1"/>
        <s v="GTX/06664-04-02-02" u="1"/>
        <s v="GTX/06664-04-02-03" u="1"/>
        <s v="GTX/06664-04-02-04" u="1"/>
        <s v="GTX/06664-07-02-05" u="1"/>
        <s v="GTX/06664-08-01-02" u="1"/>
        <s v="GTX/06664-08-04-01" u="1"/>
        <s v="GTX/06665-01-01-01" u="1"/>
        <s v="GTX/06665-01-01-02" u="1"/>
        <s v="GTX/06665-01-01-03" u="1"/>
        <s v="GTX/06665-01-01-04" u="1"/>
        <s v="GTX/06665-02-02-01" u="1"/>
        <s v="GTX/06665-02-02-02" u="1"/>
        <s v="GTX/06665-03-02-02" u="1"/>
        <s v="GTX/06665-04-02-01" u="1"/>
        <s v="GTX/06665-04-02-02" u="1"/>
        <s v="GTX/06665-04-02-04" u="1"/>
        <s v="GTX/06665-04-02-06" u="1"/>
        <s v="GTX/06665-07-02-05" u="1"/>
        <s v="GTX/06665-08-01-02" u="1"/>
        <s v="GTX/06665-08-04-01" u="1"/>
        <s v="GTX/06666-01-01-01" u="1"/>
        <s v="GTX/06666-01-01-02" u="1"/>
        <s v="GTX/06666-01-01-03" u="1"/>
        <s v="GTX/06666-01-01-04" u="1"/>
        <s v="GTX/06666-02-02-01" u="1"/>
        <s v="GTX/06666-02-02-02" u="1"/>
        <s v="GTX/06666-04-02-02" u="1"/>
        <s v="GTX/06666-07-02-05" u="1"/>
        <s v="GTX/06666-08-01-02" u="1"/>
        <s v="GTX/06666-08-04-01" u="1"/>
        <s v="GTX/06667-01-01-01" u="1"/>
        <s v="GTX/06667-01-01-03" u="1"/>
        <s v="GTX/06667-01-01-04" u="1"/>
        <s v="GTX/06667-02-02-01" u="1"/>
        <s v="GTX/06667-02-02-02" u="1"/>
        <s v="GTX/06667-04-02-01" u="1"/>
        <s v="GTX/06667-04-02-02" u="1"/>
        <s v="GTX/06667-04-02-03" u="1"/>
        <s v="GTX/06667-04-02-04" u="1"/>
        <s v="GTX/06667-07-02-05" u="1"/>
        <s v="GTX/06668-01-01-01" u="1"/>
        <s v="GTX/06668-01-01-03" u="1"/>
        <s v="GTX/06668-01-01-04" u="1"/>
        <s v="GTX/06668-02-02-01" u="1"/>
        <s v="GTX/06668-02-02-02" u="1"/>
        <s v="GTX/06668-04-02-01" u="1"/>
        <s v="GTX/06668-04-02-02" u="1"/>
        <s v="GTX/06668-04-02-03" u="1"/>
        <s v="GTX/06668-07-02-05" u="1"/>
        <s v="GTX/06669-01-01-01" u="1"/>
        <s v="GTX/06669-01-01-04" u="1"/>
        <s v="GTX/06669-02-02-01" u="1"/>
        <s v="GTX/06669-02-02-02" u="1"/>
        <s v="GTX/06669-04-02-01" u="1"/>
        <s v="GTX/06669-04-02-03" u="1"/>
        <s v="GTX/06669-04-02-06" u="1"/>
        <s v="GTX/06670-01-01-01" u="1"/>
        <s v="GTX/06670-01-01-03" u="1"/>
        <s v="GTX/06670-01-01-04" u="1"/>
        <s v="GTX/06670-02-02-01" u="1"/>
        <s v="GTX/06670-07-02-05" u="1"/>
        <s v="GTX/06676-01-01-01" u="1"/>
        <s v="GTX/06676-01-01-03" u="1"/>
        <s v="GTX/06676-04-01-01" u="1"/>
        <s v="GTX/06676-04-02-01" u="1"/>
        <s v="GTX/06687-01-01-01" u="1"/>
        <s v="GTX/06687-01-01-02" u="1"/>
        <s v="GTX/06687-01-01-04" u="1"/>
        <s v="GTX/06687-02-02-03" u="1"/>
        <s v="GTX/06687-07-02-05" u="1"/>
        <s v="GTX/06688-01-01-03" u="1"/>
        <s v="GTX/06714-01-01-03" u="1"/>
        <s v="GTX/06714-02-02-01" u="1"/>
        <s v="GTX/06714-04-02-01" u="1"/>
        <s v="GTX/06714-04-02-03" u="1"/>
        <s v="GTX/06714-04-02-04" u="1"/>
        <s v="GTX/06714-04-02-05" u="1"/>
        <s v="GTX/06714-04-02-06" u="1"/>
        <s v="GTX/06714-04-02-07" u="1"/>
        <s v="GTX/06719-01-01-01" u="1"/>
        <s v="GTX/06719-01-01-02" u="1"/>
        <s v="GTX/06719-01-01-03" u="1"/>
        <s v="GTX/06719-02-02-03" u="1"/>
        <s v="GTX/06719-07-02-05" u="1"/>
        <s v="GTX/06720-01-01-01" u="1"/>
        <s v="GTX/06720-01-01-02" u="1"/>
        <s v="GTX/06720-01-01-03" u="1"/>
        <s v="GTX/06720-04-02-01" u="1"/>
        <s v="GTX/06720-07-02-05" u="1"/>
        <s v="GTX/06722-01-01-01" u="1"/>
        <s v="GTX/06722-01-01-02" u="1"/>
        <s v="GTX/06722-01-01-03" u="1"/>
        <s v="GTX/06722-01-01-04" u="1"/>
        <s v="GTX/06722-01-02-02" u="1"/>
        <s v="GTX/06722-04-02-02" u="1"/>
        <s v="GTX/06722-04-02-03" u="1"/>
        <s v="GTX/06722-04-02-06" u="1"/>
        <s v="GTX/06722-07-02-02" u="1"/>
        <s v="GTX/06722-07-02-05" u="1"/>
        <s v="GTX/06722-08-01-01" u="1"/>
        <s v="GTX/06722-08-04-01" u="1"/>
        <s v="GTX/06722-08-05-06" u="1"/>
        <s v="GTX/06722-08-05-12" u="1"/>
        <s v="GTX/06724-01-01-01" u="1"/>
        <s v="GTX/06724-01-01-02" u="1"/>
        <s v="GTX/06724-01-01-03" u="1"/>
        <s v="GTX/06724-04-01-02" u="1"/>
        <s v="GTX/06724-07-02-02" u="1"/>
        <s v="GTX/06724-07-02-04" u="1"/>
        <s v="GTX/06724-07-02-05" u="1"/>
        <s v="GTX/06725-01-01-01" u="1"/>
        <s v="GTX/06725-01-01-03" u="1"/>
        <s v="GTX/06725-01-01-04" u="1"/>
        <s v="GTX/06725-07-02-05" u="1"/>
        <s v="GTX/06727-01-01-01" u="1"/>
        <s v="GTX/06727-01-01-03" u="1"/>
        <s v="GTX/06727-01-01-04" u="1"/>
        <s v="GTX/06727-07-01-01" u="1"/>
        <s v="GTX/06727-07-02-05" u="1"/>
        <s v="GTX/06732-01-01-01" u="1"/>
        <s v="GTX/06732-01-01-02" u="1"/>
        <s v="GTX/06732-07-02-05" u="1"/>
        <s v="GTX/06737-01-01-01" u="1"/>
        <s v="GTX/06737-07-02-05" u="1"/>
        <s v="GTX/06745-01-01-03" u="1"/>
        <s v="GTX/06757-01-01-01" u="1"/>
        <s v="GTX/06760-01-01-01" u="1"/>
        <s v="GTX/06760-02-02-02" u="1"/>
        <s v="GTX/06760-04-01-03" u="1"/>
        <s v="GTX/06760-07-02-06" u="1"/>
        <s v="GTX/06763-01-01-01" u="1"/>
        <s v="GTX/06774-01-01-02" u="1"/>
        <s v="GTX/06774-01-01-03" u="1"/>
        <s v="GTX/06786-01-01-01" u="1"/>
        <s v="GTX/06786-01-01-03" u="1"/>
        <s v="GTX/06786-01-01-04" u="1"/>
        <s v="GTX/06786-01-01-07" u="1"/>
        <s v="GTX/06786-01-01-08" u="1"/>
        <s v="GTX/06786-01-01-09" u="1"/>
        <s v="GTX/06786-01-01-10" u="1"/>
        <s v="GTX/06786-01-01-13" u="1"/>
        <s v="GTX/06786-01-01-14" u="1"/>
        <s v="GTX/06786-01-01-15" u="1"/>
        <s v="GTX/06786-01-01-16" u="1"/>
        <s v="GTX/06786-01-01-18" u="1"/>
        <s v="GTX/06786-01-01-19" u="1"/>
        <s v="GTX/06786-02-01-01" u="1"/>
        <s v="GTX/06786-02-01-03" u="1"/>
        <s v="GTX/06786-02-03-01" u="1"/>
        <s v="GTX/06786-02-03-02" u="1"/>
        <s v="GTX/06786-02-03-06" u="1"/>
        <s v="GTX/06786-02-04-06" u="1"/>
        <s v="GTX/06786-02-05-02" u="1"/>
        <s v="GTX/06786-02-05-03" u="1"/>
        <s v="GTX/06786-02-05-04" u="1"/>
        <s v="GTX/06786-02-05-06" u="1"/>
        <s v="GTX/06786-02-05-07" u="1"/>
        <s v="GTX/06786-02-05-08" u="1"/>
        <s v="GTX/06786-02-05-09" u="1"/>
        <s v="GTX/06786-02-05-10" u="1"/>
        <s v="GTX/06786-02-05-11" u="1"/>
        <s v="GTX/06786-02-05-12" u="1"/>
        <s v="GTX/06786-02-05-13" u="1"/>
        <s v="GTX/06786-02-05-15" u="1"/>
        <s v="GTX/06786-02-05-17" u="1"/>
        <s v="GTX/06786-02-05-18" u="1"/>
        <s v="GTX/06799-04-02-02" u="1"/>
        <s v="GTX/06845-01-01-03" u="1"/>
        <s v="GTX/06845-04-02-02" u="1"/>
        <s v="GTX/06848-01-01-01" u="1"/>
        <s v="GTX/06848-01-01-03" u="1"/>
        <s v="GTX/06848-08-05-01" u="1"/>
        <s v="GTX/06849-01-01-01" u="1"/>
        <s v="GTX/06849-01-01-03" u="1"/>
        <s v="GTX/06849-08-05-01" u="1"/>
        <s v="GTX/06850-01-01-03" u="1"/>
        <s v="GTX/06850-04-02-01" u="1"/>
        <s v="GTX/06851-01-01-01" u="1"/>
        <s v="GTX/06851-01-01-03" u="1"/>
        <s v="GTX/06852-01-01-01" u="1"/>
        <s v="GTX/06852-01-01-03" u="1"/>
        <s v="GTX/06852-08-05-01" u="1"/>
        <s v="GTX/06853-01-01-01" u="1"/>
        <s v="GTX/06853-01-01-03" u="1"/>
        <s v="GTX/06853-08-05-01" u="1"/>
        <s v="GTX/06856-08-04-03" u="1"/>
        <s v="GTX/06857-01-01-01" u="1"/>
        <s v="GTX/06857-01-01-06" u="1"/>
        <s v="GTX/06857-04-01-02" u="1"/>
        <s v="GTX/06857-06-02-02" u="1"/>
        <s v="GTX/06857-08-02-01" u="1"/>
        <s v="GTX/06857-08-02-03" u="1"/>
        <s v="GTX/06857-08-05-11" u="1"/>
        <s v="GTX/06857-08-11-01" u="1"/>
        <s v="GTX/06889-01-01-02" u="1"/>
        <s v="GTX/06890-01-01-01" u="1"/>
        <s v="GTX/06890-08-01-02" u="1"/>
        <s v="GTX/06890-08-01-03" u="1"/>
        <s v="GTX/06890-08-01-04" u="1"/>
        <s v="GTX/06891-01-01-02" u="1"/>
        <s v="GTX/06896-06-02-02" u="1"/>
        <s v="GTX/06896-08-02-03" u="1"/>
        <s v="GTX/06896-08-05-08" u="1"/>
        <s v="GTX/06897-06-02-02" u="1"/>
        <s v="GTX/06898-01-01-06" u="1"/>
        <s v="GTX/06898-04-01-02" u="1"/>
        <s v="GTX/06898-06-02-02" u="1"/>
        <s v="GTX/06898-08-02-03" u="1"/>
        <s v="GTX/06898-08-05-08" u="1"/>
        <s v="GTX/06898-08-11-01" u="1"/>
        <s v="GTX/06900-04-01-02" u="1"/>
        <s v="GTX/06901-01-01-06" u="1"/>
        <s v="GTX/06901-08-02-03" u="1"/>
        <s v="GTX/06902-04-01-02" u="1"/>
        <s v="GTX/06902-06-02-02" u="1"/>
        <s v="GTX/06902-08-02-03" u="1"/>
        <s v="GTX/06902-08-05-08" u="1"/>
        <s v="GTX/06902-08-11-01" u="1"/>
        <s v="GTX/06906-08-11-01" u="1"/>
        <s v="GTX/06907-01-01-06" u="1"/>
        <s v="GTX/06907-04-01-02" u="1"/>
        <s v="GTX/06907-08-02-03" u="1"/>
        <s v="GTX/06908-01-01-01" u="1"/>
        <s v="GTX/06908-01-01-06" u="1"/>
        <s v="GTX/06908-04-01-02" u="1"/>
        <s v="GTX/06908-08-02-03" u="1"/>
        <s v="GTX/06908-08-05-08" u="1"/>
        <s v="GTX/06909-01-01-06" u="1"/>
        <s v="GTX/06909-04-01-02" u="1"/>
        <s v="GTX/06909-06-02-02" u="1"/>
        <s v="GTX/06909-08-02-03" u="1"/>
        <s v="GTX/06909-08-05-08" u="1"/>
        <s v="GTX/06913-01-01-06" u="1"/>
        <s v="GTX/06913-04-01-02" u="1"/>
        <s v="GTX/06913-06-02-02" u="1"/>
        <s v="GTX/06913-08-02-03" u="1"/>
        <s v="GTX/06913-08-05-08" u="1"/>
        <s v="GTX/06913-08-11-01" u="1"/>
        <s v="GTX/06914-01-01-01" u="1"/>
        <s v="GTX/06914-04-01-02" u="1"/>
        <s v="GTX/06914-06-02-02" u="1"/>
        <s v="GTX/06914-08-05-08" u="1"/>
        <s v="GTX/06914-08-11-01" u="1"/>
        <s v="GTX/06915-01-01-01" u="1"/>
        <s v="GTX/06915-04-01-02" u="1"/>
        <s v="GTX/06915-06-02-02" u="1"/>
        <s v="GTX/06915-08-02-03" u="1"/>
        <s v="GTX/06915-08-05-08" u="1"/>
        <s v="GTX/06915-08-11-01" u="1"/>
        <s v="GTX/06933-01-01-03" u="1"/>
        <s v="GTX/06934-01-01-03" u="1"/>
        <s v="GTX/06942-01-01-01" u="1"/>
        <s v="GTX/06942-01-01-05" u="1"/>
        <s v="GTX/06949-01-01-03" u="1"/>
        <s v="GTX/06950-01-01-01" u="1"/>
        <s v="GTX/06950-01-01-03" u="1"/>
        <s v="GTX/06950-08-05-01" u="1"/>
        <s v="GTX/06951-01-01-03" u="1"/>
        <s v="GTX/06951-08-05-01" u="1"/>
        <s v="GTX/06952-01-01-01" u="1"/>
        <s v="GTX/06952-01-01-03" u="1"/>
        <s v="GTX/06952-08-05-01" u="1"/>
        <s v="GTX/06953-01-01-03" u="1"/>
        <s v="GTX/06953-08-05-01" u="1"/>
        <s v="GTX/06954-01-01-03" u="1"/>
        <s v="GTX/06955-01-01-01" u="1"/>
        <s v="GTX/06955-01-01-03" u="1"/>
        <s v="GTX/06955-08-05-01" u="1"/>
        <s v="GTX/06956-01-01-01" u="1"/>
        <s v="GTX/06956-01-01-02" u="1"/>
        <s v="GTX/06956-01-01-03" u="1"/>
        <s v="GTX/06956-01-01-06" u="1"/>
        <s v="GTX/06956-08-05-01" u="1"/>
        <s v="GTX/06956-08-05-07" u="1"/>
        <s v="GTX/06957-01-01-01" u="1"/>
        <s v="GTX/06957-01-01-03" u="1"/>
        <s v="GTX/06957-08-05-01" u="1"/>
        <s v="GTX/06958-01-01-03" u="1"/>
        <s v="GTX/06958-08-05-01" u="1"/>
        <s v="GTX/06959-08-05-01" u="1"/>
        <s v="GTX/06970-01-01-01" u="1"/>
        <s v="GTX/06970-04-01-03" u="1"/>
        <s v="GTX/06971-01-01-01" u="1"/>
        <s v="GTX/06971-01-01-03" u="1"/>
        <s v="GTX/06971-01-02-03" u="1"/>
        <s v="GTX/06971-02-02-01" u="1"/>
        <s v="GTX/06971-02-02-03" u="1"/>
        <s v="GTX/06971-02-02-06" u="1"/>
        <s v="GTX/06971-07-02-05" u="1"/>
        <s v="GTX/06996-01-01-03" u="1"/>
        <s v="GTX/06996-08-05-11" u="1"/>
        <s v="GTX/07003-08-04-01" u="1"/>
        <s v="GTX/07008-08-05-16" u="1"/>
        <s v="GTX/07009-01-01-01" u="1"/>
        <s v="GTX/07009-01-01-03" u="1"/>
        <s v="GTX/07009-08-05-03" u="1"/>
        <s v="GTX/07009-08-05-16" u="1"/>
        <s v="GTX/07009-08-11-01" u="1"/>
        <s v="GTX/07010-08-05-03" u="1"/>
        <s v="GTX/07010-08-05-16" u="1"/>
        <s v="GTX/07019-01-01-03" u="1"/>
        <s v="GTX/07019-01-02-03" u="1"/>
        <s v="GTX/07019-08-05-14" u="1"/>
        <s v="GTX/07029-01-01-03" u="1"/>
        <s v="GTX/07029-08-05-11" u="1"/>
        <s v="GTX/07034-01-01-03" u="1"/>
        <s v="GTX/07034-08-05-09" u="1"/>
        <s v="GTX/07044-01-01-02" u="1"/>
        <s v="GTX/07044-01-01-03" u="1"/>
        <s v="GTX/07048-01-01-02" u="1"/>
        <s v="GTX/07048-01-01-03" u="1"/>
        <s v="GTX/07049-01-01-01" u="1"/>
        <s v="GTX/07049-01-01-02" u="1"/>
        <s v="GTX/07049-01-01-03" u="1"/>
        <s v="GTX/07051-01-01-03" u="1"/>
        <s v="GTX/07052-01-01-03" u="1"/>
        <s v="GTX/07063-01-01-01" u="1"/>
        <s v="GTX/07063-01-01-02" u="1"/>
        <s v="GTX/07063-01-01-03" u="1"/>
        <s v="GTX/07063-02-02-01" u="1"/>
        <s v="GTX/07063-02-03-06" u="1"/>
        <s v="GTX/07063-07-01-01" u="1"/>
        <s v="GTX/07063-08-04-01" u="1"/>
        <s v="GTX/07067-01-01-01" u="1"/>
        <s v="GTX/07067-01-01-05" u="1"/>
        <s v="GTX/07068-01-01-02" u="1"/>
        <s v="GTX/07068-08-07-06" u="1"/>
        <s v="GTX/07070-01-01-03" u="1"/>
        <s v="GTX/07080-01-01-02" u="1"/>
        <s v="GTX/07080-01-01-03" u="1"/>
        <s v="GTX/07080-02-02-02" u="1"/>
        <s v="GTX/07104-04-02-01" u="1"/>
        <s v="GTX/07104-04-02-07" u="1"/>
        <s v="GTX/07116-04-02-01" u="1"/>
        <s v="GTX/07162-01-01-01" u="1"/>
        <s v="GTX/07162-01-01-03" u="1"/>
        <s v="GTX/07162-01-01-04" u="1"/>
        <s v="GTX/07162-04-01-03" u="1"/>
        <s v="GTX/07163-01-01-01" u="1"/>
        <s v="GTX/07163-01-01-03" u="1"/>
        <s v="GTX/07163-01-01-04" u="1"/>
        <s v="GTX/07163-04-01-03" u="1"/>
        <s v="GTX/07167-01-01-01" u="1"/>
        <s v="GTX/07171-08-08-10" u="1"/>
        <s v="GTX/07191-01-01-01" u="1"/>
        <s v="GTX/07191-01-01-03" u="1"/>
        <s v="GTX/07191-02-03-06" u="1"/>
        <s v="GTX/07191-03-01-03" u="1"/>
        <s v="GTX/07191-03-02-01" u="1"/>
        <s v="GTX/07191-04-01-03" u="1"/>
        <s v="GTX/07191-07-02-05" u="1"/>
        <s v="GTX/07194-01-01-01" u="1"/>
        <s v="GTX/07198-01-01-01" u="1"/>
        <s v="GTX/07198-02-03-06" u="1"/>
        <s v="GTX/07200-01-01-05" u="1"/>
        <s v="GTX/07206-04-01-02" u="1"/>
        <s v="GTX/07206-08-02-01" u="1"/>
        <s v="GTX/07206-08-11-01" u="1"/>
        <s v="GTX/07207-06-01-02" u="1"/>
        <s v="GTX/07208-08-05-12" u="1"/>
        <s v="GTX/07210-01-01-01" u="1"/>
        <s v="GTX/07214-02-04-02" u="1"/>
        <s v="GTX/07231-08-01-02" u="1"/>
        <s v="GTX/07242-01" u="1"/>
        <s v="GTX/07243-01-01-01" u="1"/>
        <s v="GTX/07243-01-01-02" u="1"/>
        <s v="GTX/07243-01-01-03" u="1"/>
        <s v="GTX/07243-01-01-04" u="1"/>
        <s v="GTX/07243-02-02-02" u="1"/>
        <s v="GTX/07243-04-02-01" u="1"/>
        <s v="GTX/07243-04-02-02" u="1"/>
        <s v="GTX/07243-04-02-03" u="1"/>
        <s v="GTX/07243-04-02-04" u="1"/>
        <s v="GTX/07243-04-02-05" u="1"/>
        <s v="GTX/07243-04-02-06" u="1"/>
        <s v="GTX/07243-07-02-05" u="1"/>
        <s v="GTX/07243-08-01-02" u="1"/>
        <s v="GTX/07243-08-08-05" u="1"/>
        <s v="GTX/07244-01-01-03" u="1"/>
        <s v="GTX/07244-08-05-09" u="1"/>
        <s v="GTX/07245-01-01-02" u="1"/>
        <s v="GTX/07245-01-01-03" u="1"/>
        <s v="GTX/07245-08-05-11" u="1"/>
        <s v="GTX/07245-08-05-12" u="1"/>
        <s v="GTX/07246-01-01-02" u="1"/>
        <s v="GTX/07246-01-01-03" u="1"/>
        <s v="GTX/07246-08-05-11" u="1"/>
        <s v="GTX/07253-01-01-01" u="1"/>
        <s v="GTX/07253-07-01-01" u="1"/>
        <s v="GTX/07254-01-01-01" u="1"/>
        <s v="GTX/07255-01-01-01" u="1"/>
        <s v="GTX/07256-01-01-01" u="1"/>
        <s v="GTX/07257-01-01-01" u="1"/>
        <s v="GTX/07259-01-01-01" u="1"/>
        <s v="GTX/07292-01-01-01" u="1"/>
        <s v="GTX/07292-01-01-03" u="1"/>
        <s v="GTX/07292-02-03-01" u="1"/>
        <s v="GTX/07292-07-02-06" u="1"/>
        <s v="GTX/07380-01-01-02" u="1"/>
        <s v="GTX/07380-01-01-03" u="1"/>
        <s v="GTX/07381-01-01-02" u="1"/>
        <s v="GTX/07381-01-01-03" u="1"/>
        <s v="GTX/07381-08-05-11" u="1"/>
        <s v="GTX/07382-01-01-03" u="1"/>
        <s v="GTX/07382-08-05-11" u="1"/>
        <s v="GTX/07391-02-03-06" u="1"/>
        <s v="GTX/07391-08-06-02" u="1"/>
        <s v="GTX/07396-01-01-01" u="1"/>
        <s v="GTX/07396-01-01-02" u="1"/>
        <s v="GTX/07396-01-01-03" u="1"/>
        <s v="GTX/07396-01-01-04" u="1"/>
        <s v="GTX/07396-02-03-01" u="1"/>
        <s v="GTX/07396-02-04-06" u="1"/>
        <s v="GTX/07401-01-01-01" u="1"/>
        <s v="GTX/07401-01-01-04" u="1"/>
        <s v="GTX/07401-02-03-01" u="1"/>
        <s v="GTX/07410-01-01-03" u="1"/>
        <s v="GTX/07410-04-01-01" u="1"/>
        <s v="GTX/07410-07-01-01" u="1"/>
        <s v="GTX/07421-01-01-03" u="1"/>
        <s v="GTX/07421-08-05-14" u="1"/>
        <s v="GTX/07426-01-01-02" u="1"/>
        <s v="GTX/07426-01-01-03" u="1"/>
        <s v="GTX/07426-06-01-02" u="1"/>
        <s v="GTX/07444-02-03-06" u="1"/>
        <s v="GTX/07445-02-03-06" u="1"/>
        <s v="GTX/07447-01-01-01" u="1"/>
        <s v="GTX/07447-04-02-03" u="1"/>
        <s v="GTX/07447-07-02-06" u="1"/>
        <s v="GTX/07450-01" u="1"/>
        <s v="GTX/07454-01-01-03" u="1"/>
        <s v="GTX/07455-01-01-03" u="1"/>
        <s v="GTX/07457-01-01-03" u="1"/>
        <s v="GTX/07457-02-02-06" u="1"/>
        <s v="GTX/07557-01-01-03" u="1"/>
        <s v="GTX/07557-02-02-02" u="1"/>
        <s v="GTX/07558-01-01-01" u="1"/>
        <s v="GTX/07558-01-01-03" u="1"/>
        <s v="GTX/07558-08-01-02" u="1"/>
        <s v="GTX/07559-01-01-01" u="1"/>
        <s v="GTX/07559-01-01-03" u="1"/>
        <s v="GTX/07559-08-01-02" u="1"/>
        <s v="GTX/07573-01-01-01" u="1"/>
        <s v="GTX/07573-01-01-03" u="1"/>
        <s v="GTX/07575-01-01-03" u="1"/>
        <s v="GTX/07576-01-01-03" u="1"/>
        <s v="GTX/07577-01-01-03" u="1"/>
        <s v="GTX/07578-01-01-03" u="1"/>
        <s v="GTX/07602-01-01-01" u="1"/>
        <s v="GTX/07602-01-01-03" u="1"/>
        <s v="GTX/07602-04-02-01" u="1"/>
        <s v="GTX/07602-04-02-02" u="1"/>
        <s v="GTX/07628-01-01-01" u="1"/>
        <s v="GTX/07628-01-01-04" u="1"/>
        <s v="GTX/07629-01-01-01" u="1"/>
        <s v="GTX/07629-01-01-02" u="1"/>
        <s v="GTX/07629-01-01-03" u="1"/>
        <s v="GTX/07629-01-01-04" u="1"/>
        <s v="GTX/07629-02-01-04" u="1"/>
        <s v="GTX/07629-02-02-01" u="1"/>
        <s v="GTX/07652-01-01-01" u="1"/>
        <s v="GTX/07652-01-01-03" u="1"/>
        <s v="GTX/07662-01-01-01" u="1"/>
        <s v="GTX/07663-01-01-01" u="1"/>
        <s v="GTX/07664-01-01-01" u="1"/>
        <s v="GTX/07669-01-01-02" u="1"/>
        <s v="GTX/07671-01-01-01" u="1"/>
        <s v="GTX/07671-04-02-04" u="1"/>
        <s v="GTX/07674-01-01-02" u="1"/>
        <s v="GTX/07696-08-05-01" u="1"/>
        <s v="GTX/07703-01-01-01" u="1"/>
        <s v="GTX/07709-01-01-01" u="1"/>
        <s v="GTX/07709-01-01-03" u="1"/>
        <s v="GTX/07709-02-01-04" u="1"/>
        <s v="GTX/07709-04-01-03" u="1"/>
        <s v="GTX/07709-07-01-01" u="1"/>
        <s v="GTX/07718-01-01-01" u="1"/>
        <s v="GTX/07718-01-05-03" u="1"/>
        <s v="GTX/07727-01-01-02" u="1"/>
        <s v="GTX/07727-01-01-03" u="1"/>
        <s v="GTX/07727-04-02-01" u="1"/>
        <s v="GTX/07728-01-01-03" u="1"/>
        <s v="GTX/07739-01-01-01" u="1"/>
        <s v="GTX/07739-01-01-03" u="1"/>
        <s v="GTX/07739-02-01-02" u="1"/>
        <s v="GTX/07739-02-03-06" u="1"/>
        <s v="GTX/07739-03-01-03" u="1"/>
        <s v="GTX/07739-03-02-02" u="1"/>
        <s v="GTX/07739-07-02-05" u="1"/>
        <s v="GTX/07742-01-01-01" u="1"/>
        <s v="GTX/07742-01-01-02" u="1"/>
        <s v="GTX/07742-01-01-03" u="1"/>
        <s v="GTX/07742-07-01-01" u="1"/>
        <s v="GTX/07742-07-02-05" u="1"/>
        <s v="GTX/07752-01-01-01" u="1"/>
        <s v="GTX/07752-01-01-03" u="1"/>
        <s v="GTX/07752-08-01-01" u="1"/>
        <s v="GTX/07755-01-01-01" u="1"/>
        <s v="GTX/07755-01-01-02" u="1"/>
        <s v="GTX/07755-01-01-03" u="1"/>
        <s v="GTX/07755-02-02-02" u="1"/>
        <s v="GTX/07755-08-05-11" u="1"/>
        <s v="GTX/07756-01-01-01" u="1"/>
        <s v="GTX/07756-01-01-03" u="1"/>
        <s v="GTX/07756-08-05-01" u="1"/>
        <s v="GTX/07757-01-01-03" u="1"/>
        <s v="GTX/07760-01-01-03" u="1"/>
        <s v="GTX/07761-01-01-01" u="1"/>
        <s v="GTX/07761-01-01-03" u="1"/>
        <s v="GTX/07761-08-05-14" u="1"/>
        <s v="GTX/07762-01-01-03" u="1"/>
        <s v="GTX/07763-01-01-03" u="1"/>
        <s v="GTX/07778-01-01-01" u="1"/>
        <s v="GTX/07778-01-01-02" u="1"/>
        <s v="GTX/07778-01-01-03" u="1"/>
        <s v="GTX/07778-04-02-01" u="1"/>
        <s v="GTX/07778-08-01-01" u="1"/>
        <s v="GTX/07779-01-01-01" u="1"/>
        <s v="GTX/07779-01-01-03" u="1"/>
        <s v="GTX/07780-01-01-03" u="1"/>
        <s v="GTX/07781-01-01-03" u="1"/>
        <s v="GTX/07782-01-01-01" u="1"/>
        <s v="GTX/07782-01-01-02" u="1"/>
        <s v="GTX/07782-01-01-03" u="1"/>
        <s v="GTX/07782-04-02-01" u="1"/>
        <s v="GTX/07782-08-01-01" u="1"/>
        <s v="GTX/07783-01-01-01" u="1"/>
        <s v="GTX/07783-01-01-02" u="1"/>
        <s v="GTX/07783-01-01-03" u="1"/>
        <s v="GTX/07783-04-02-01" u="1"/>
        <s v="GTX/07783-08-01-01" u="1"/>
        <s v="GTX/07784-01-01-01" u="1"/>
        <s v="GTX/07784-01-01-02" u="1"/>
        <s v="GTX/07784-01-01-03" u="1"/>
        <s v="GTX/07784-08-01-01" u="1"/>
        <s v="GTX/07785-01-01-01" u="1"/>
        <s v="GTX/07785-01-01-03" u="1"/>
        <s v="GTX/07786-01-01-01" u="1"/>
        <s v="GTX/07786-01-01-03" u="1"/>
        <s v="GTX/07786-08-01-01" u="1"/>
        <s v="GTX/07787-01-01-01" u="1"/>
        <s v="GTX/07787-01-01-03" u="1"/>
        <s v="GTX/07788-01-01-01" u="1"/>
        <s v="GTX/07788-01-01-03" u="1"/>
        <s v="GTX/07805-01" u="1"/>
        <s v="GTX/07807-01-01-01" u="1"/>
        <s v="GTX/07807-01-01-02" u="1"/>
        <s v="GTX/07807-01-01-03" u="1"/>
        <s v="GTX/07807-08-05-09" u="1"/>
        <s v="GTX/07825-02-02-03" u="1"/>
        <s v="GTX/07828-02-02-03" u="1"/>
        <s v="GTX/07835-02-02-03" u="1"/>
        <s v="GTX/07839-02-02-03" u="1"/>
        <s v="GTX/07840-02-02-03" u="1"/>
        <s v="GTX/07841-02-02-03" u="1"/>
        <s v="GTX/07843-02-02-03" u="1"/>
        <s v="GTX/07849-02-02-03" u="1"/>
        <s v="GTX/07850-02-02-03" u="1"/>
        <s v="GTX/07851-02-02-03" u="1"/>
        <s v="GTX/07903-01" u="1"/>
        <s v="GTX/07903-02" u="1"/>
        <s v="GTX/07904-01" u="1"/>
        <s v="GTX/07904-02" u="1"/>
        <s v="GTX/07905-01" u="1"/>
        <s v="GTX/07905-02" u="1"/>
        <s v="GTX/07906-01" u="1"/>
        <s v="GTX/07906-02" u="1"/>
        <s v="GTX/07907-01" u="1"/>
        <s v="GTX/07908-01" u="1"/>
        <s v="GTX/07909-01" u="1"/>
        <s v="GTX/07910-01" u="1"/>
        <s v="GTX/07912-01" u="1"/>
        <s v="GTX/07930-01-01-01" u="1"/>
        <s v="GTX/07930-01-01-03" u="1"/>
        <s v="GTX/07932-01-01-01" u="1"/>
        <s v="GTX/07932-01-01-03" u="1"/>
        <s v="GTX/07935-01-01-01" u="1"/>
        <s v="GTX/07935-01-01-03" u="1"/>
        <s v="GTX/07937-01-01-01" u="1"/>
        <s v="GTX/07937-01-01-02" u="1"/>
        <s v="GTX/07937-01-01-03" u="1"/>
        <s v="GTX/07937-04-02-01" u="1"/>
        <s v="GTX/07938-01-01-01" u="1"/>
        <s v="GTX/07938-01-01-03" u="1"/>
        <s v="GTX/07939-01-01-01" u="1"/>
        <s v="GTX/07939-01-01-03" u="1"/>
        <s v="GTX/07940-01-01-01" u="1"/>
        <s v="GTX/07940-01-01-03" u="1"/>
        <s v="GTX/07941-01-01-01" u="1"/>
        <s v="GTX/07941-01-01-03" u="1"/>
        <s v="GTX/07945-01-01-01" u="1"/>
        <s v="GTX/07951-08-05-03" u="1"/>
        <s v="GTX/07951-08-05-08" u="1"/>
        <s v="GTX/07953-08-02-03" u="1"/>
        <s v="GTX/07972-01-01-01" u="1"/>
        <s v="GTX/07972-01-01-03" u="1"/>
        <s v="GTX/07972-04-01-03" u="1"/>
        <s v="GTX/07973-04-01-03" u="1"/>
        <s v="GTX/07974-04-01-03" u="1"/>
        <s v="GTX/07975-04-01-03" u="1"/>
        <s v="GTX/07976-04-01-03" u="1"/>
        <s v="GTX/07978-04-01-03" u="1"/>
        <s v="GTX/07979-04-01-03" u="1"/>
        <s v="GTX/07980-01-01-01" u="1"/>
        <s v="GTX/07980-01-01-03" u="1"/>
        <s v="GTX/07980-04-02-01" u="1"/>
        <s v="GTX/07980-06-01-02" u="1"/>
        <s v="GTX/07981-01-01-03" u="1"/>
        <s v="GTX/07983-01-01-02" u="1"/>
        <s v="GTX/07987-01-01-01" u="1"/>
        <s v="GTX/07987-01-01-03" u="1"/>
        <s v="GTX/07987-08-01-02" u="1"/>
        <s v="GTX/07990-01-01-02" u="1"/>
        <s v="GTX/07990-01-01-03" u="1"/>
        <s v="GTX/07992-01-01-02" u="1"/>
        <s v="GTX/07992-01-01-03" u="1"/>
        <s v="GTX/08025-01-01-02" u="1"/>
        <s v="GTX/08025-08-06-16" u="1"/>
        <s v="GTX/08026-01-01-02" u="1"/>
        <s v="GTX/08027-01-01-02" u="1"/>
        <s v="GTX/08030-01-01-02" u="1"/>
        <s v="GTX/08030-01-01-03" u="1"/>
        <s v="GTX/08030-08-06-16" u="1"/>
        <s v="GTX/08031-01-01-03" u="1"/>
        <s v="GTX/08033-01-01-03" u="1"/>
        <s v="GTX/08033-08-06-16" u="1"/>
        <s v="GTX/08034-01-01-01" u="1"/>
        <s v="GTX/08034-01-01-03" u="1"/>
        <s v="GTX/08035-01-01-03" u="1"/>
        <s v="GTX/08035-08-05-01" u="1"/>
        <s v="GTX/08036-01-01-01" u="1"/>
        <s v="GTX/08036-01-01-03" u="1"/>
        <s v="GTX/08056-01-01-03" u="1"/>
        <s v="GTX/08057-01-01-03" u="1"/>
        <s v="GTX/08058-01-01-03" u="1"/>
        <s v="GTX/08059-07-02-05" u="1"/>
        <s v="GTX/08061-01-01-01" u="1"/>
        <s v="GTX/08061-01-01-03" u="1"/>
        <s v="GTX/08064-01-01-03" u="1"/>
        <s v="GTX/08088-01-01-01" u="1"/>
        <s v="GTX/08089-01-01-01" u="1"/>
        <s v="GTX/08097-01-01-02" u="1"/>
        <s v="GTX/08097-08-04-16" u="1"/>
        <s v="GTX/08098-01-01-01" u="1"/>
        <s v="GTX/08099-01-01-01" u="1"/>
        <s v="GTX/08100-01-01-01" u="1"/>
        <s v="GTX/08101-01-01-01" u="1"/>
        <s v="GTX/08113-01-01-03" u="1"/>
        <s v="GTX/08114-01-01-03" u="1"/>
        <s v="GTX/08115-01-01-03" u="1"/>
        <s v="GTX/08116-01-01-03" u="1"/>
        <s v="GTX/08118-01-01-03" u="1"/>
        <s v="GTX/08123-04-02-02" u="1"/>
        <s v="GTX/08124-01-01-01" u="1"/>
        <s v="GTX/08134-01-01-01" u="1"/>
        <s v="GTX/08134-01-01-02" u="1"/>
        <s v="GTX/08134-02-02-01" u="1"/>
        <s v="GTX/08134-04-01-03" u="1"/>
        <s v="GTX/08134-04-02-07" u="1"/>
        <s v="GTX/08134-07-02-03" u="1"/>
        <s v="GTX/08137-01-01-01" u="1"/>
        <s v="GTX/08137-01-01-03" u="1"/>
        <s v="GTX/08141-01" u="1"/>
        <s v="GTX/08141-03" u="1"/>
        <s v="GTX/08141-04" u="1"/>
        <s v="GTX/08141-05" u="1"/>
        <s v="GTX/08152-01-01-01" u="1"/>
        <s v="GTX/08152-01-01-03" u="1"/>
        <s v="GTX/08153-01-01-01" u="1"/>
        <s v="GTX/08153-01-01-03" u="1"/>
        <s v="GTX/08154-01-01-01" u="1"/>
        <s v="GTX/08154-01-01-03" u="1"/>
        <s v="GTX/08155-01-01-01" u="1"/>
        <s v="GTX/08155-01-01-03" u="1"/>
        <s v="GTX/08156-01-01-01" u="1"/>
        <s v="GTX/08156-01-01-03" u="1"/>
        <s v="GTX/08179-01-01-01" u="1"/>
        <s v="GTX/08179-01-01-03" u="1"/>
        <s v="GTX/08180-01-01-01" u="1"/>
        <s v="GTX/08180-01-01-03" u="1"/>
        <s v="GTX/08181-01-01-01" u="1"/>
        <s v="GTX/08182-01-01-01" u="1"/>
        <s v="GTX/08182-01-01-03" u="1"/>
        <s v="GTX/08183-01-01-01" u="1"/>
        <s v="GTX/08184-01-01-01" u="1"/>
        <s v="GTX/08184-01-01-03" u="1"/>
        <s v="GTX/08185-01-01-01" u="1"/>
        <s v="GTX/08186-01-01-01" u="1"/>
        <s v="GTX/08187-01-01-01" u="1"/>
        <s v="GTX/08187-01-01-03" u="1"/>
        <s v="GTX/08188-01-01-01" u="1"/>
        <s v="GTX/08188-01-01-03" u="1"/>
        <s v="GTX/08189-01-01-01" u="1"/>
        <s v="GTX/08189-01-01-03" u="1"/>
        <s v="GTX/08190-01-01-01" u="1"/>
        <s v="GTX/08190-01-01-03" u="1"/>
        <s v="GTX/08214-01" u="1"/>
        <s v="GTX/08219-01" u="1"/>
        <s v="GTX/08220-01" u="1"/>
        <s v="GTX/08221-01" u="1"/>
        <s v="GTX/08226-01-01-01" u="1"/>
        <s v="GTX/08253-01" u="1"/>
        <s v="GTX/08254-01" u="1"/>
        <s v="GTX/08255-01" u="1"/>
        <s v="GTX/08258-01" u="1"/>
        <s v="GTX/08258-02" u="1"/>
        <s v="GTX/08258-03" u="1"/>
        <s v="GTX/08259-01" u="1"/>
        <s v="GTX/08259-02" u="1"/>
        <s v="GTX/08259-03" u="1"/>
        <s v="GTX/08260-01" u="1"/>
        <s v="GTX/08260-02" u="1"/>
        <s v="GTX/08261-02" u="1"/>
        <s v="GTX/08261-03" u="1"/>
        <s v="GTX/08262-01" u="1"/>
        <s v="GTX/08262-02" u="1"/>
        <s v="GTX/08264-01-01-04" u="1"/>
        <s v="GTX/08269-01-01-04" u="1"/>
        <s v="GTX/08273-01-01-01" u="1"/>
        <s v="GTX/08275-01-01-01" u="1"/>
        <s v="GTX/08275-01-01-02" u="1"/>
        <s v="GTX/08275-01-01-03" u="1"/>
        <s v="GTX/08275-01-01-04" u="1"/>
        <s v="GTX/08276-01-01-01" u="1"/>
        <s v="GTX/08276-01-01-02" u="1"/>
        <s v="GTX/08276-01-01-03" u="1"/>
        <s v="GTX/08276-01-01-04" u="1"/>
        <s v="GTX/08277-01-01-01" u="1"/>
        <s v="GTX/08277-01-01-02" u="1"/>
        <s v="GTX/08277-01-01-03" u="1"/>
        <s v="GTX/08277-01-01-04" u="1"/>
        <s v="GTX/08278-01-01-01" u="1"/>
        <s v="GTX/08278-01-01-02" u="1"/>
        <s v="GTX/08278-01-01-03" u="1"/>
        <s v="GTX/08278-01-01-04" u="1"/>
        <s v="GTX/08279-01-01-01" u="1"/>
        <s v="GTX/08279-01-01-02" u="1"/>
        <s v="GTX/08279-01-01-03" u="1"/>
        <s v="GTX/08279-01-01-04" u="1"/>
        <s v="GTX/08280-01-01-01" u="1"/>
        <s v="GTX/08280-01-01-02" u="1"/>
        <s v="GTX/08280-01-01-03" u="1"/>
        <s v="GTX/08280-01-01-04" u="1"/>
        <s v="GTX/08281-01-01-01" u="1"/>
        <s v="GTX/08281-01-01-02" u="1"/>
        <s v="GTX/08281-01-01-03" u="1"/>
        <s v="GTX/08281-01-01-04" u="1"/>
        <s v="GTX/08282-01-01-01" u="1"/>
        <s v="GTX/08282-01-01-02" u="1"/>
        <s v="GTX/08282-01-01-03" u="1"/>
        <s v="GTX/08282-01-01-04" u="1"/>
        <s v="GTX/08283-01-01-01" u="1"/>
        <s v="GTX/08283-01-01-02" u="1"/>
        <s v="GTX/08283-01-01-03" u="1"/>
        <s v="GTX/08283-01-01-04" u="1"/>
        <s v="GTX/08284-01-01-01" u="1"/>
        <s v="GTX/08284-01-01-02" u="1"/>
        <s v="GTX/08284-01-01-03" u="1"/>
        <s v="GTX/08284-01-01-04" u="1"/>
        <s v="GTX/08285-01-01-01" u="1"/>
        <s v="GTX/08285-01-01-02" u="1"/>
        <s v="GTX/08285-01-01-03" u="1"/>
        <s v="GTX/08285-01-01-04" u="1"/>
        <s v="GTX/08295-01-01-01" u="1"/>
        <s v="GTX/08295-01-01-02" u="1"/>
        <s v="GTX/08295-01-01-04" u="1"/>
        <s v="GTX/08295-02-04-02" u="1"/>
        <s v="GTX/08296-01-01-01" u="1"/>
        <s v="GTX/08296-01-01-02" u="1"/>
        <s v="GTX/08296-01-01-04" u="1"/>
        <s v="GTX/08296-02-04-02" u="1"/>
        <s v="GTX/08296-04-02-01" u="1"/>
        <s v="GTX/08296-07-01-01" u="1"/>
        <s v="GTX/08298-01-01-01" u="1"/>
        <s v="GTX/08298-01-01-02" u="1"/>
        <s v="GTX/08298-01-01-03" u="1"/>
        <s v="GTX/08298-01-01-04" u="1"/>
        <s v="GTX/08298-04-02-01" u="1"/>
        <s v="GTX/08298-08-03-10" u="1"/>
        <s v="GTX/08299-01-01-01" u="1"/>
        <s v="GTX/08299-01-01-02" u="1"/>
        <s v="GTX/08299-01-01-03" u="1"/>
        <s v="GTX/08299-01-01-04" u="1"/>
        <s v="GTX/08299-04-02-01" u="1"/>
        <s v="GTX/08299-08-02-02" u="1"/>
        <s v="GTX/08299-08-03-10" u="1"/>
        <s v="GTX/08300-01-01-01" u="1"/>
        <s v="GTX/08300-01-01-02" u="1"/>
        <s v="GTX/08300-01-01-03" u="1"/>
        <s v="GTX/08300-01-01-04" u="1"/>
        <s v="GTX/08300-04-02-01" u="1"/>
        <s v="GTX/08300-08-03-10" u="1"/>
        <s v="GTX/08302-01-01-02" u="1"/>
        <s v="GTX/08302-01-01-03" u="1"/>
        <s v="GTX/08302-01-01-04" u="1"/>
        <s v="GTX/08302-08-01-01" u="1"/>
        <s v="GTX/08302-08-03-14" u="1"/>
        <s v="GTX/08302-10-01-01" u="1"/>
        <s v="GTX/08303-01-01-02" u="1"/>
        <s v="GTX/08303-01-01-03" u="1"/>
        <s v="GTX/08303-01-01-04" u="1"/>
        <s v="GTX/08303-08-01-01" u="1"/>
        <s v="GTX/08303-08-02-02" u="1"/>
        <s v="GTX/08303-08-03-12" u="1"/>
        <s v="GTX/08303-08-03-14" u="1"/>
        <s v="GTX/08303-10-01-01" u="1"/>
        <s v="GTX/08304-01-01-02" u="1"/>
        <s v="GTX/08304-01-01-04" u="1"/>
        <s v="GTX/08304-08-01-01" u="1"/>
        <s v="GTX/08304-08-03-14" u="1"/>
        <s v="GTX/08305-01-01-02" u="1"/>
        <s v="GTX/08305-01-01-03" u="1"/>
        <s v="GTX/08305-01-01-04" u="1"/>
        <s v="GTX/08305-08-01-01" u="1"/>
        <s v="GTX/08305-08-02-02" u="1"/>
        <s v="GTX/08305-08-03-14" u="1"/>
        <s v="GTX/08306-01-01-01" u="1"/>
        <s v="GTX/08306-01-01-02" u="1"/>
        <s v="GTX/08306-01-01-03" u="1"/>
        <s v="GTX/08306-01-01-04" u="1"/>
        <s v="GTX/08306-08-01-01" u="1"/>
        <s v="GTX/08306-08-03-14" u="1"/>
        <s v="GTX/08307-01-01-02" u="1"/>
        <s v="GTX/08307-01-01-03" u="1"/>
        <s v="GTX/08307-01-01-04" u="1"/>
        <s v="GTX/08307-08-01-01" u="1"/>
        <s v="GTX/08307-08-02-02" u="1"/>
        <s v="GTX/08307-08-03-12" u="1"/>
        <s v="GTX/08307-08-03-14" u="1"/>
        <s v="GTX/08318-01-01-01" u="1"/>
        <s v="GTX/08318-03-02-02" u="1"/>
        <s v="GTX/08324-01" u="1"/>
        <s v="GTX/08326-01" u="1"/>
        <s v="GTX/08328-01" u="1"/>
        <s v="GTX/08330-01" u="1"/>
        <s v="GTX/08332-01" u="1"/>
        <s v="GTX/08341-01-01-02" u="1"/>
        <s v="GTX/08341-07-01-01" u="1"/>
        <s v="GTX/08351-01" u="1"/>
        <s v="GTX/08359-01" u="1"/>
        <s v="GTX/08367-01-01-04" u="1"/>
        <s v="GTX/08367-02-02-01" u="1"/>
        <s v="GTX/08368-01-01-01" u="1"/>
        <s v="GTX/08368-01-01-02" u="1"/>
        <s v="GTX/08368-01-01-03" u="1"/>
        <s v="GTX/08368-04-02-03" u="1"/>
        <s v="GTX/08368-04-02-04" u="1"/>
        <s v="GTX/08369-04-02-04" u="1"/>
        <s v="GTX/08370-01-01-01" u="1"/>
        <s v="GTX/08370-01-01-03" u="1"/>
        <s v="GTX/08370-04-02-04" u="1"/>
        <s v="GTX/08371-01-01-01" u="1"/>
        <s v="GTX/08371-04-02-04" u="1"/>
        <s v="GTX/08373-01-01-02" u="1"/>
        <s v="GTX/08373-04-02-04" u="1"/>
        <s v="GTX/08374-01-01-01" u="1"/>
        <s v="GTX/08376-01-01-01" u="1"/>
        <s v="GTX/08376-02-02-02" u="1"/>
        <s v="GTX/08376-02-03-01" u="1"/>
        <s v="GTX/08376-04-02-05" u="1"/>
        <s v="GTX/08382-01-01-01" u="1"/>
        <s v="GTX/08382-07-01-01" u="1"/>
        <s v="GTX/08384-01-01-01" u="1"/>
        <s v="GTX/08384-04-01-02" u="1"/>
        <s v="GTX/08384-06-02-02" u="1"/>
        <s v="GTX/08384-07-01-01" u="1"/>
        <s v="GTX/08386-01-01-01" u="1"/>
        <s v="GTX/08386-04-01-02" u="1"/>
        <s v="GTX/08386-06-02-02" u="1"/>
        <s v="GTX/08386-07-01-01" u="1"/>
        <s v="GTX/08387-01-01-06" u="1"/>
        <s v="GTX/08387-04-01-02" u="1"/>
        <s v="GTX/08387-06-02-02" u="1"/>
        <s v="GTX/08387-07-01-01" u="1"/>
        <s v="GTX/08388-01-01-02" u="1"/>
        <s v="GTX/08388-06-02-02" u="1"/>
        <s v="GTX/08388-07-01-01" u="1"/>
        <s v="GTX/08389-01-01-06" u="1"/>
        <s v="GTX/08389-04-01-02" u="1"/>
        <s v="GTX/08389-06-02-02" u="1"/>
        <s v="GTX/08389-07-01-01" u="1"/>
        <s v="GTX/08393-01-01-02" u="1"/>
        <s v="GTX/08393-02-02-01" u="1"/>
        <s v="GTX/08394-01-01-04" u="1"/>
        <s v="GTX/08394-02-02-01" u="1"/>
        <s v="GTX/08395-01-01-01" u="1"/>
        <s v="GTX/08396-01-01-01" u="1"/>
        <s v="GTX/08396-04-01-03" u="1"/>
        <s v="GTX/08438-01-01-04" u="1"/>
        <s v="GTX/08440-04-02-04" u="1"/>
        <s v="GTX/08444-01-01-03" u="1"/>
        <s v="GTX/08445-01-01-03" u="1"/>
        <s v="GTX/08446-01-01-03" u="1"/>
        <s v="GTX/08447-01-01-03" u="1"/>
        <s v="GTX/08448-01-01-03" u="1"/>
        <s v="GTX/08449-01-01-03" u="1"/>
        <s v="GTX/08450-01-01-03" u="1"/>
        <s v="GTX/08451-01-01-03" u="1"/>
        <s v="GTX/08452-01-01-03" u="1"/>
        <s v="GTX/08453-01-01-03" u="1"/>
        <s v="GTX/08454-01-01-03" u="1"/>
        <s v="GTX/08455-01-01-03" u="1"/>
        <s v="GTX/08456-01-01-03" u="1"/>
        <s v="GTX/08458-01-01-03" u="1"/>
        <s v="GTX/08459-01-01-03" u="1"/>
        <s v="GTX/08460-01-01-03" u="1"/>
        <s v="GTX/08461-01-01-03" u="1"/>
        <s v="GTX/08462-01-01-03" u="1"/>
        <s v="GTX/08463-01-01-03" u="1"/>
        <s v="GTX/08464-01-01-03" u="1"/>
        <s v="GTX/08465-01-01-03" u="1"/>
        <s v="GTX/08467-01-01-04" u="1"/>
        <s v="GTX/08476-01-01-01" u="1"/>
        <s v="GTX/08476-01-01-03" u="1"/>
        <s v="GTX/08477-01-01-03" u="1"/>
        <s v="GTX/08478-01-01-03" u="1"/>
        <s v="GTX/08480-01-01-03" u="1"/>
        <s v="GTX/08481-01-01-03" u="1"/>
        <s v="GTX/08489-01-01-01" u="1"/>
        <s v="GTX/08489-01-01-03" u="1"/>
        <s v="GTX/08490-01-01-01" u="1"/>
        <s v="GTX/08490-01-01-03" u="1"/>
        <s v="GTX/08491-01-01-01" u="1"/>
        <s v="GTX/08491-01-01-03" u="1"/>
        <s v="GTX/08492-01-01-01" u="1"/>
        <s v="GTX/08492-01-01-03" u="1"/>
        <s v="GTX/08493-01-01-01" u="1"/>
        <s v="GTX/08493-01-01-03" u="1"/>
        <s v="GTX/08494-01-01-01" u="1"/>
        <s v="GTX/08494-01-01-03" u="1"/>
        <s v="GTX/08495-01-01-03" u="1"/>
        <s v="GTX/08496-01-01-01" u="1"/>
        <s v="GTX/08496-01-01-03" u="1"/>
        <s v="GTX/08497-01-01-03" u="1"/>
        <s v="GTX/08516-01-01-01" u="1"/>
        <s v="GTX/08519-01-01-01" u="1"/>
        <s v="GTX/08520-01-01-01" u="1"/>
        <s v="GTX/08521-01-01-01" u="1"/>
        <s v="GTX/08522-01-01-01" u="1"/>
        <s v="GTX/08524-01-01-01" u="1"/>
        <s v="GTX/08525-01-01-01" u="1"/>
        <s v="GTX/08531-01-08-01" u="1"/>
        <s v="GTX/08538-01-01-01" u="1"/>
        <s v="GTX/08608-01-01-02" u="1"/>
        <s v="GTX/08608-02-02-02" u="1"/>
        <s v="GTX/08611-01-01-02" u="1"/>
        <s v="GTX/08611-02-02-02" u="1"/>
        <s v="GTX/08612-01-01-02" u="1"/>
        <s v="GTX/08612-02-02-02" u="1"/>
        <s v="GTX/08613-01-01-02" u="1"/>
        <s v="GTX/08614-01-01-02" u="1"/>
        <s v="GTX/08614-02-02-02" u="1"/>
        <s v="GTX/08615-01-01-02" u="1"/>
        <s v="GTX/08616-01-01-01" u="1"/>
        <s v="GTX/08616-01-01-02" u="1"/>
        <s v="GTX/08616-02-02-02" u="1"/>
        <s v="GTX/08617-02-02-02" u="1"/>
        <s v="GTX/08622-01-01-02" u="1"/>
        <s v="GTX/08622-02-02-02" u="1"/>
        <s v="GTX/08633-01-01-04" u="1"/>
        <s v="GTX/08640-01-01-02" u="1"/>
        <s v="GTX/08640-01-01-04" u="1"/>
        <s v="GTX/08640-04-02-05" u="1"/>
        <s v="GTX/08654-01-01-02" u="1"/>
        <s v="GTX/08654-01-01-04" u="1"/>
        <s v="GTX/08654-02-02-02" u="1"/>
        <s v="GTX/08656-01-01-01" u="1"/>
        <s v="GTX/08656-01-01-02" u="1"/>
        <s v="GTX/08694-07-01-01" u="1"/>
        <s v="GTX/08695-07-01-01" u="1"/>
        <s v="GTX/08697-07-01-01" u="1"/>
        <s v="GTX/08698-07-01-01" u="1"/>
        <s v="GTX/08699-07-01-01" u="1"/>
        <s v="GTX/08700-07-01-01" u="1"/>
        <s v="GTX/08702-07-01-01" u="1"/>
        <s v="GTX/08703-07-01-01" u="1"/>
        <s v="GTX/08704-07-01-01" u="1"/>
        <s v="GTX/08705-07-01-01" u="1"/>
        <s v="GTX/08706-07-01-01" u="1"/>
        <s v="GTX/08707-07-01-01" u="1"/>
        <s v="GTX/08709-07-01-01" u="1"/>
        <s v="GTX/08710-07-01-01" u="1"/>
        <s v="GTX/08711-07-01-01" u="1"/>
        <s v="GTX/08712-07-01-01" u="1"/>
        <s v="GTX/08713-07-01-01" u="1"/>
        <s v="GTX/08714-07-01-01" u="1"/>
        <s v="GTX/08715-07-01-01" u="1"/>
        <s v="GTX/08716-07-01-01" u="1"/>
        <s v="GTX/08717-07-01-01" u="1"/>
        <s v="GTX/08718-07-01-01" u="1"/>
        <s v="GTX/08728-01-01-03" u="1"/>
        <s v="GTX/08729-01-01-03" u="1"/>
        <s v="GTX/08730-01-01-03" u="1"/>
        <s v="GTX/08731-01-01-03" u="1"/>
        <s v="GTX/08732-01-01-03" u="1"/>
        <s v="GTX/08733-01-01-03" u="1"/>
        <s v="GTX/08736-01-01-03" u="1"/>
        <s v="GTX/08737-01-01-03" u="1"/>
        <s v="GTX/08738-01-01-03" u="1"/>
        <s v="GTX/08739-01-01-03" u="1"/>
        <s v="GTX/08740-01-01-03" u="1"/>
        <s v="GTX/08741-01-01-03" u="1"/>
        <s v="GTX/08742-01-01-03" u="1"/>
        <s v="GTX/08743-01-01-03" u="1"/>
        <s v="GTX/08744-01-01-03" u="1"/>
        <s v="GTX/08745-01-01-03" u="1"/>
        <s v="GTX/08746-01-01-03" u="1"/>
        <s v="GTX/08747-01-01-03" u="1"/>
        <s v="GTX/08748-01-01-03" u="1"/>
        <s v="GTX/08749-01-01-03" u="1"/>
        <s v="GTX/08750-01-01-03" u="1"/>
        <s v="GTX/08751-01-01-03" u="1"/>
        <s v="GTX/08752-01-01-03" u="1"/>
        <s v="GTX/08753-01-01-03" u="1"/>
        <s v="GTX/08754-01-01-03" u="1"/>
        <s v="GTX/08755-01-01-03" u="1"/>
        <s v="GTX/08756-01-01-03" u="1"/>
        <s v="GTX/08757-01-01-03" u="1"/>
        <s v="GTX/08758-01-01-03" u="1"/>
        <s v="GTX/08759-01-01-03" u="1"/>
        <s v="GTX/08761-01-01-03" u="1"/>
        <s v="GTX/08762-01-01-03" u="1"/>
        <s v="GTX/08763-01-01-03" u="1"/>
        <s v="GTX/08764-01-01-03" u="1"/>
        <s v="GTX/08765-01-01-03" u="1"/>
        <s v="GTX/08766-01-01-03" u="1"/>
        <s v="GTX/08767-01-01-03" u="1"/>
        <s v="GTX/08768-01-01-03" u="1"/>
        <s v="GTX/08769-01-01-03" u="1"/>
        <s v="GTX/08770-01-01-03" u="1"/>
        <s v="GTX/08771-01-01-03" u="1"/>
        <s v="GTX/08772-01-01-03" u="1"/>
        <s v="GTX/08787-01-01-01" u="1"/>
        <s v="GTX/08787-01-01-02" u="1"/>
        <s v="GTX/08799-01-01-01" u="1"/>
        <s v="GTX/08799-02-02-01" u="1"/>
        <s v="GTX/08799-04-01-01" u="1"/>
        <s v="GTX/08805-07-01-01" u="1"/>
        <s v="GTX/08806-01-01-03" u="1"/>
        <s v="GTX/08806-07-01-01" u="1"/>
        <s v="GTX/08807-07-01-01" u="1"/>
        <s v="GTX/08808-07-01-01" u="1"/>
        <s v="GTX/08809-07-01-01" u="1"/>
        <s v="GTX/08810-07-01-01" u="1"/>
        <s v="GTX/08811-07-01-01" u="1"/>
        <s v="GTX/08812-07-01-01" u="1"/>
        <s v="GTX/08818-07-01-01" u="1"/>
        <s v="GTX/08821-07-01-01" u="1"/>
        <s v="GTX/08822-07-01-01" u="1"/>
        <s v="GTX/08823-07-01-01" u="1"/>
        <s v="GTX/08824-07-01-01" u="1"/>
        <s v="GTX/08825-07-01-01" u="1"/>
        <s v="GTX/08826-07-01-01" u="1"/>
        <s v="GTX/08827-07-01-01" u="1"/>
        <s v="GTX/08828-07-01-01" u="1"/>
        <s v="GTX/08829-07-01-01" u="1"/>
        <s v="GTX/08830-07-01-01" u="1"/>
        <s v="GTX/08853-01-01-01" u="1"/>
        <s v="GTX/08854-01-01-01" u="1"/>
        <s v="GTX/08880-01-01-01" u="1"/>
        <s v="GTX/08881-01-01-01" u="1"/>
        <s v="GTX/08969-01-01-01" u="1"/>
        <s v="GTX/08970-01-01-01" u="1"/>
        <s v="GTX/08971-01-01-01" u="1"/>
        <s v="GTX/08998-01" u="1"/>
        <s v="ITD/07978-30-98-04" u="1"/>
        <s v="ITD/07980-30-98-01" u="1"/>
        <s v="ITD/07982-30-98-01" u="1"/>
        <s v="ITD/07984-30-98-01" u="1"/>
        <s v="ITD/07993-30-98-01" u="1"/>
        <s v="ITD/07996-30-98-01" u="1"/>
        <s v="ITD/08001-30-98-01" u="1"/>
        <s v="ITD/08028-30-98-01" u="1"/>
        <s v="ITD/08032-30-98-01" u="1"/>
        <s v="ITD/08034-30-98-01" u="1"/>
        <s v="ITD/08040-30-98-01" u="1"/>
        <s v="ITD/08062-30-98-01" u="1"/>
        <s v="ITD/08114-30-98-01" u="1"/>
        <s v="ITD/08120-30-98-01" u="1"/>
        <s v="ITD/08156-30-98-01" u="1"/>
        <s v="ITX/02516-30-98-02" u="1"/>
        <s v="ITX/02522-30-98-02" u="1"/>
        <s v="ITX/06074-30-98-02" u="1"/>
        <s v="ITX/06636-30-98-02" u="1"/>
        <s v="ITX/07438-30-98-02" u="1"/>
        <s v="ITX/07440-30-98-02" u="1"/>
        <s v="ITX/07442-30-98-02" u="1"/>
        <s v="ITX/07681-30-98-02" u="1"/>
        <s v="ITX/07698-30-98-02" u="1"/>
        <s v="ITX/07700-30-98-02" u="1"/>
        <s v="ITX/07702-30-98-02" u="1"/>
        <s v="ITX/07704-30-98-02" u="1"/>
        <s v="ITX/07706-30-98-02" u="1"/>
        <s v="ITX/07708-30-98-02" u="1"/>
        <s v="ITX/07734-30-98-02" u="1"/>
        <s v="ITX/07738-30-98-02" u="1"/>
        <s v="ITX/07746-30-98-02" u="1"/>
        <s v="ITX/07748-30-98-02" u="1"/>
        <s v="ITX/07750-30-98-02" u="1"/>
        <s v="ITX/07752-30-98-02" u="1"/>
        <s v="ITX/07754-30-98-02" u="1"/>
        <s v="ITX/07756-30-98-02" u="1"/>
        <s v="ITX/07758-30-98-02" u="1"/>
        <s v="ITX/07760-30-98-02" u="1"/>
        <s v="ITX/07806-30-98-02" u="1"/>
        <s v="ITX/07870-30-98-02" u="1"/>
        <s v="ITX/07926-30-98-02" u="1"/>
        <s v="ITX/07936-30-98-02" u="1"/>
        <s v="PRP/04224-73-93-01" u="1"/>
        <s v="PRP/04226-73-93-01" u="1"/>
        <s v="PRP/04309-01-01-02" u="1"/>
        <s v="PRP/04371-73-96-01" u="1"/>
        <s v="PRP/04371-73-96-02" u="1"/>
        <s v="PRP/04371-73-96-03" u="1"/>
        <s v="PRP/04371-73-96-04" u="1"/>
        <s v="PRP/04371-73-96-05" u="1"/>
        <s v="PRP/04371-73-96-06" u="1"/>
        <s v="PRP/04374-60-02" u="1"/>
        <s v="PRP/04374-60-03" u="1"/>
        <s v="PRP/04374-60-04" u="1"/>
        <s v="SEC/08064-30-98-01" u="1"/>
        <s v="SEC/08068-30-98-01" u="1"/>
        <s v="SEC/08070-30-98-01" u="1"/>
        <s v="SEC/08098-30-98-01" u="1"/>
        <s v="SEC/08100-30-98-01" u="1"/>
        <s v="SEC/08104-30-98-01" u="1"/>
        <s v="SEC/08110-30-98-01" u="1"/>
        <s v="SEC/08146-30-98-01" u="1"/>
        <s v="SEC/08178-30-98-01" u="1"/>
        <s v="SEC/08184-30-98-01" u="1"/>
        <s v="CYB/07976-30-98-05" u="1"/>
        <s v="ITD/07978-30-98-05" u="1"/>
        <s v="ITD/07980-30-98-02" u="1"/>
        <s v="ITD/07982-30-98-02" u="1"/>
        <s v="ITD/07984-30-98-02" u="1"/>
        <s v="ITD/07993-30-98-02" u="1"/>
        <s v="ITD/07996-30-98-02" u="1"/>
        <s v="ITD/08001-30-98-02" u="1"/>
        <s v="ITD/08005-30-98-02" u="1"/>
        <s v="ITD/08007-30-98-05" u="1"/>
        <s v="ITD/08009-30-98-02" u="1"/>
        <s v="ITD/08015-30-98-02" u="1"/>
        <s v="ITD/08026-30-98-05" u="1"/>
        <s v="ITD/08028-30-98-02" u="1"/>
        <s v="ITD/08032-30-98-02" u="1"/>
        <s v="ITD/08034-30-98-02" u="1"/>
        <s v="ITD/08036-30-98-02" u="1"/>
        <s v="ITD/08038-30-98-02" u="1"/>
        <s v="ITD/08040-30-98-02" u="1"/>
        <s v="ITD/08042-30-98-02" u="1"/>
        <s v="ITD/08044-30-98-02" u="1"/>
        <s v="ITD/08046-30-98-02" u="1"/>
        <s v="ITD/08056-30-98-02" u="1"/>
        <s v="ITD/08062-30-98-02" u="1"/>
        <s v="ITD/08114-30-98-02" u="1"/>
        <s v="ITD/08120-30-98-02" u="1"/>
        <s v="ITX/05853-30-98-01" u="1"/>
        <s v="ITX/06152-30-98-01" u="1"/>
        <s v="ITX/06636-30-98-01" u="1"/>
        <s v="ITX/07124-30-98-01" u="1"/>
        <s v="ITX/07388-30-98-01" u="1"/>
        <s v="ITX/07390-30-98-01" u="1"/>
        <s v="ITX/07409-30-98-01" u="1"/>
        <s v="ITX/07438-30-98-01" u="1"/>
        <s v="ITX/07440-30-98-01" u="1"/>
        <s v="ITX/07442-30-98-01" u="1"/>
        <s v="ITX/07681-30-98-01" u="1"/>
        <s v="ITX/07708-30-98-01" u="1"/>
        <s v="ITX/07712-30-98-01" u="1"/>
        <s v="ITX/07714-30-98-01" u="1"/>
        <s v="ITX/07726-30-98-01" u="1"/>
        <s v="ITX/07728-30-98-01" u="1"/>
        <s v="ITX/07730-30-98-01" u="1"/>
        <s v="ITX/07734-30-98-01" u="1"/>
        <s v="ITX/07738-30-98-01" u="1"/>
        <s v="ITX/07746-30-98-01" u="1"/>
        <s v="ITX/07748-30-98-01" u="1"/>
        <s v="ITX/07750-30-98-01" u="1"/>
        <s v="ITX/07752-30-98-01" u="1"/>
        <s v="ITX/07754-30-98-01" u="1"/>
        <s v="ITX/07756-30-98-01" u="1"/>
        <s v="ITX/07758-30-98-01" u="1"/>
        <s v="ITX/07760-30-98-01" u="1"/>
        <s v="ITX/07836-30-98-01" u="1"/>
        <s v="ITX/07870-30-98-01" u="1"/>
        <s v="ITX/07926-30-98-01" u="1"/>
        <s v="SEC/08064-30-98-02" u="1"/>
        <s v="SEC/08100-30-98-02" u="1"/>
        <s v="SEC/08104-30-98-02" u="1"/>
        <s v="SEC/08110-30-98-02" u="1"/>
        <s v="SEC/08116-30-98-02" u="1"/>
        <s v="SEC/08128-30-98-02" u="1"/>
        <s v="SEC/08134-30-98-02" u="1"/>
        <s v="SEC/08178-30-98-02" u="1"/>
        <s v="SEC/08184-30-98-02" u="1"/>
        <s v="SEC/08198-30-98-02" u="1"/>
      </sharedItems>
    </cacheField>
    <cacheField name="WBS Element2" numFmtId="0">
      <sharedItems containsBlank="1" count="347">
        <s v="Project Management"/>
        <s v="GT Operations"/>
        <s v="NG Overhead"/>
        <s v="Delivery Unit Project Management"/>
        <s v="External Affiars"/>
        <s v="Mechanical"/>
        <s v="Contractor Project Management"/>
        <s v="All"/>
        <s v="Accomodation &amp; Facilities"/>
        <s v="Environmental Assessment"/>
        <s v="Rotating"/>
        <s v="GT Project Management"/>
        <s v="NG Overheads"/>
        <s v="Consultancy Services"/>
        <s v="GT System Operator"/>
        <s v="Legal"/>
        <s v="Planning Consents"/>
        <s v="Evironmental Impact Assessment"/>
        <s v="Land Acquisition"/>
        <s v="Inspection Services"/>
        <s v="Utilities"/>
        <s v="4.PROJECT 00011 NGT Project Management"/>
        <s v="4.PROJECT 00012 NGT Staff"/>
        <s v="4.PROJECT 00014 Overhead"/>
        <s v="4.14 NGT Staff"/>
        <s v="4.24 Valves"/>
        <s v="4.38 MWC Project Management"/>
        <m/>
        <s v="(GT) - Capex" u="1"/>
        <s v="SGT400 Works" u="1"/>
        <s v="NonOpIT OpsE1 WiFi &amp; networking telecom" u="1"/>
        <s v="NonOpFV OpsE1 Mobile plant &amp; generators" u="1"/>
        <s v="NonOpLB OpsE1 Building workshop storage" u="1"/>
        <s v="NonOPpFF OpsE1 Office Equipment" u="1"/>
        <s v="NonOPpFF OpsE1 Furniture &amp; perm fixtures" u="1"/>
        <s v="NonOpPM OpsE1 Safety Equipment" u="1"/>
        <s v="NonOpPM OpsE1 Electrical Equipment" u="1"/>
        <s v="NonOpPM OpsE1 Non electrical equipment" u="1"/>
        <s v="NonOpPM OpsE1 Tools" u="1"/>
        <s v="Minor Capital for Tools &amp; Equipment W3 O" u="1"/>
        <s v="PAC1052547 - GT Project Management " u="1"/>
        <s v="NG Proj Mgt/C.Team: Core NG Overhead" u="1"/>
        <s v="PAC1052547 - Delivery Unit Project Manag" u="1"/>
        <s v="NonOpIT OpsE2 Non-NTS computer systems" u="1"/>
        <s v="NonOpFV OpsE2 Accessories (e.g. Sat Nav)" u="1"/>
        <s v="NonOPpFF OpsE2 Office Equipment" u="1"/>
        <s v="NonOPpFF OpsE2 Furniture &amp; perm fixtures" u="1"/>
        <s v="NonOpPM OpsE2 Safety Equipment" u="1"/>
        <s v="NonOpPM OpsE2 Electrical Equipment" u="1"/>
        <s v="NonOpPM OpsE2 Non electrical equipment" u="1"/>
        <s v="NonOpPM OpsE2 Tools" u="1"/>
        <s v="NonOpPM Glasgow Static PlantMachinery" u="1"/>
        <s v="NonOpPM OpsS3 Electrical Equipment" u="1"/>
        <s v="NonOpPM OpsS3 Tools" u="1"/>
        <s v="PAC3467 - MAIN WORKS" u="1"/>
        <s v="PAC3467 - STAFF COSTS" u="1"/>
        <s v="LOCATION 09999 Miscellaneous" u="1"/>
        <s v="NonOPpFF St. Fergus Furniture &amp;perm fixt" u="1"/>
        <s v="NonOpPM St. Fergus Electrical Equipment" u="1"/>
        <s v="NG Proj Mgt/C.Team:CT:Proj Exe Mgt" u="1"/>
        <s v="FAR Adjustment" u="1"/>
        <s v="Capitalised Interest" u="1"/>
        <s v="Secure Site Connectivity NG staff costs" u="1"/>
        <s v="Secure Site Connectivity Project Service" u="1"/>
        <s v="Secure Site Connectivity Contractor Cost" u="1"/>
        <s v="Secure Site Connectivity Materials/Procu" u="1"/>
        <s v="Secure Site Connectivity Misc. Costs" u="1"/>
        <s v="Access and Account Management NG staff c" u="1"/>
        <s v="Access and Account Management Project Se" u="1"/>
        <s v="Access and Account Management Contractor" u="1"/>
        <s v="Access and Account Management Materials/" u="1"/>
        <s v="ALERT (Optioneering) NG staff costs" u="1"/>
        <s v="ALERT (Optioneering) Project Services co" u="1"/>
        <s v="Physical Security for OT NG staff costs" u="1"/>
        <s v="Physical Security for OT Materials/Procu" u="1"/>
        <s v="CORE (Phase 1) Contractor Costs" u="1"/>
        <s v="Strategic Spares NG staff costs" u="1"/>
        <s v="Strategic Spares Contractor Costs" u="1"/>
        <s v="Strategic Spares Materials/Procurement C" u="1"/>
        <s v="Next Gen RTU Materials/procurement costs" u="1"/>
        <s v="3rd Party TTLs Contractor Costs" u="1"/>
        <s v="Segmentation Pilot Project Services cost" u="1"/>
        <s v="Segmentation Pilot Contractor Costs" u="1"/>
        <s v="Segmentation Pilot Materials/Procurement" u="1"/>
        <s v="Segmentation Pilot Misc. Costs" u="1"/>
        <s v="SeVulnerability M'ment for OT Pilot NG S" u="1"/>
        <s v="Vulnerability M'ment for OT Pilot Projec" u="1"/>
        <s v="Vulnerability M'ment for OT Pilot Contra" u="1"/>
        <s v="Vulnerability M'ment for OT Pilot Misc C" u="1"/>
        <s v="CAMDB Extension Contractor Costs" u="1"/>
        <s v="Gas Quality IoT NG Staff Costs" u="1"/>
        <s v="Gas Quality IoT Project Services" u="1"/>
        <s v="Gas Quality IoT Contractor" u="1"/>
        <s v="IDS Refresh Project Services Costs" u="1"/>
        <s v="IDS Refresh Contractor Costs" u="1"/>
        <s v="IDS Refresh Materials/Procurement Costs" u="1"/>
        <s v="TTL Upgrade Contractor Costs" u="1"/>
        <s v="OT Backup Solution - Contractor Costs" u="1"/>
        <s v="OT Backup Solution - Matr/Procurm Costs" u="1"/>
        <s v="Starlink Contractor costs" u="1"/>
        <s v="MAIN WORKS" u="1"/>
        <s v="NonOpPM Knowsley Static PlantMachinery" u="1"/>
        <s v="PANNAL-NETHER KELLET PROJECT SERVICES" u="1"/>
        <s v="PANNAL-NETHER KELLET LEGAL" u="1"/>
        <s v="PAC1051394 - MATERIALS/PROCUREMENT" u="1"/>
        <s v="PAC1051394 - PROJECT SERVICES" u="1"/>
        <s v="NonOpFV OpsW2 Accessories (e.g. Sat Nav)" u="1"/>
        <s v="NonOpLB OpsW2 Ext hardstand, storagearea" u="1"/>
        <s v="NonOPpFF OpsW2 Office Equipment" u="1"/>
        <s v="NonOPpFF OpsW2 Furniture &amp; perm fixtures" u="1"/>
        <s v="NonOpPM OpsW2 Safety Equipment" u="1"/>
        <s v="NonOpPM OpsW2 Electrical Equipment" u="1"/>
        <s v="NonOpPM OpsW2 Non electrical equipment" u="1"/>
        <s v="NonOpPM OpsW2 Tools" u="1"/>
        <s v="PAC1052120 - MAIN WORKS" u="1"/>
        <s v="PAC1052120- STAFF COSTS" u="1"/>
        <s v="PAC1052120 - PROJECT SERVICES" u="1"/>
        <s v="NG Proj Mgt/C.Team:CT:Core NG Overhead" u="1"/>
        <s v="NG Proj Team: ENTERPRISE" u="1"/>
        <s v="NonOPpFF OpsS1 Furniture &amp; perm fixtures" u="1"/>
        <s v="NonOpPM OpsS1 Electrical Equipment" u="1"/>
        <s v="PAC3765 - GTAM Staff" u="1"/>
        <s v="PAC3765 - Drawings" u="1"/>
        <s v="NonOpLB OpsW1 Building workshop storage" u="1"/>
        <s v="NonOpLB OpsW1 Ext non-NTS building imp" u="1"/>
        <s v="NonOpPM OpsW1 Safety Equipment" u="1"/>
        <s v="NonOpPM OpsW1 Tools" u="1"/>
        <s v="PAC1049999 - MAIN WORKS" u="1"/>
        <s v="PAC1049999- STAFF COSTS" u="1"/>
        <s v="NG Proj Mgt/C.Team:CT:Proj Exe Mgt." u="1"/>
        <s v="NGProc:ThirdPtyWks&amp;Svs:ProjServices" u="1"/>
        <s v="NGProc:Comp Station:Pipe / Other" u="1"/>
        <s v="NonOpIT OpsE5 WiFi &amp; networking telecom" u="1"/>
        <s v="NonOpLB OpsE5 Ext hardstand, storagearea" u="1"/>
        <s v="NonOPpFF OpsE5 Office Equipment" u="1"/>
        <s v="NonOpPM OpsE5 Static Plant &amp; generators" u="1"/>
        <s v="NonOpPM OpsE5 Safety Equipment" u="1"/>
        <s v="NonOpPM OpsE5 Electrical Equipment" u="1"/>
        <s v="NonOpPM OpsE5 Non electrical equipment" u="1"/>
        <s v="NonOpPM OpsE5 Tools" u="1"/>
        <s v="PAC1052582 - GT Project Management " u="1"/>
        <s v="PAC1050299 - MAIN WORKS" u="1"/>
        <s v="PAC1050299 - PROJECT SERVICES" u="1"/>
        <s v="NonOpPM LOCATION 09999 Safety Equipment" u="1"/>
        <s v="NonOpPM LOCATION 09999 Electrical Equipment" u="1"/>
        <s v="NonOpPM LOCATION 09999 Non electrical equipment" u="1"/>
        <s v="PAC1010731 - GTAM Staff" u="1"/>
        <s v="NonOpFV OpsW4 Accessories (e.g. Sat Nav)" u="1"/>
        <s v="NonOPpFF OpsW4 Office Equipment" u="1"/>
        <s v="NonOpPM OpsW4 Safety Equipment" u="1"/>
        <s v="NonOpPM OpsW4 Non electrical equipment" u="1"/>
        <s v="NonOpPM OpsW4 Tools" u="1"/>
        <s v="PAC3318R - Direct Orders" u="1"/>
        <s v="PAC3318R - MWC Mechanical Construction" u="1"/>
        <s v="NonOpLB Ambergate Ext LandAdminBuilding" u="1"/>
        <s v="NonOpFF Ambergate Int Fixtures&amp;Fittings" u="1"/>
        <s v="NonOpPM Ambergate Static PlantMachinery" u="1"/>
        <s v="NonOPpFF OpsE4 Office Equipment" u="1"/>
        <s v="NonOPpFF OpsE4 Furniture &amp; perm fixtures" u="1"/>
        <s v="NonOpPM OpsE4 Static Plant &amp; generators" u="1"/>
        <s v="NonOpPM OpsE4 Safety Equipment" u="1"/>
        <s v="NonOpPM OpsE4 Electrical Equipment" u="1"/>
        <s v="NonOpPM OpsE4 Non electrical equipment" u="1"/>
        <s v="NonOpPM OpsE4 Tools" u="1"/>
        <s v="PAC3319R - Direct Orders" u="1"/>
        <s v="PAC3319R - MWC Mechanical Construction" u="1"/>
        <s v="NGProc:ThirdPtyWks&amp;Svs:SiteAssocCosts" u="1"/>
        <s v="PAC3431 - Compressor non-compliances" u="1"/>
        <s v="NonOpIT OpsW3 Non-NTS computer systems" u="1"/>
        <s v="NonOpFV OpsW3 Mobile plant &amp; generators" u="1"/>
        <s v="NonOpLB OpsW3 Ext non-NTS building imp" u="1"/>
        <s v="NonOpPM OpsW3 Safety Equipment" u="1"/>
        <s v="NonOpPM OpsW3 Tools" u="1"/>
        <s v="PAC1010736 - MAIN WORKS - BOUNDARY CONTR" u="1"/>
        <s v="PAC1010736 - MAIN WORKS - GAS ANALYSER" u="1"/>
        <s v="NG Proj Mgt/C.Team:CT:GTAM Operations" u="1"/>
        <s v="NGProc:Comp Station:Comp Manuf/Deliv" u="1"/>
        <s v="NonOpIT OpsE3 WiFi &amp; networking telecom" u="1"/>
        <s v="NonOpFV OpsE3 Accessories (e.g. Sat Nav)" u="1"/>
        <s v="NonOpLB OpsE3 Building workshop storage" u="1"/>
        <s v="NonOPpFF OpsE3 Office Equipment" u="1"/>
        <s v="NonOPpFF OpsE3 Furniture &amp; perm fixtures" u="1"/>
        <s v="NonOpPM OpsE3 Safety Equipment" u="1"/>
        <s v="NonOpPM OpsE3 Electrical Equipment" u="1"/>
        <s v="NonOpPM OpsE3 Non electrical equipment" u="1"/>
        <s v="NonOpPM OpsE3 Tools" u="1"/>
        <s v="NG Project Management / Core Team" u="1"/>
        <s v="NonOpPM Hitchin Static PlantMachinery" u="1"/>
        <s v="PAC3339R - STAFF COSTS" u="1"/>
        <s v="NonOpPM OpsS4 Electrical Equipment" u="1"/>
        <s v="NonOpPM OpsS4 Tools" u="1"/>
        <s v="NG Proj Mgt/C.Team:CT:Proj Setup" u="1"/>
        <s v="Opt/Devel:Project Mgt:Project Mgt" u="1"/>
        <s v="Opt/Devel:Pipeline:Conceptual Design" u="1"/>
        <s v="Pipework" u="1"/>
        <s v="Total Cost" u="1"/>
        <s v="Fixed Asset Register" u="1"/>
        <s v="C&amp;I" u="1"/>
        <s v="Site Acceptance Testing" u="1"/>
        <s v="Design Approval" u="1"/>
        <s v="Compressor Cab" u="1"/>
        <s v="Fire Fighting Equipment" u="1"/>
        <s v="Compensation" u="1"/>
        <s v="Direct Fee" u="1"/>
        <s v="Preliminaries / Documentation" u="1"/>
        <s v="Factory Acceptance Testing" u="1"/>
        <s v="Contractor Retention" u="1"/>
        <s v="Design Appraisal" u="1"/>
        <s v="Site Investigations" u="1"/>
        <s v="Civils" u="1"/>
        <s v="Electrical" u="1"/>
        <s v="Buildings" u="1"/>
        <s v="Cathodic Protection Equipment" u="1"/>
        <s v="Land Rights" u="1"/>
        <s v="NG Staff Costs" u="1"/>
        <s v="SCADA" u="1"/>
        <s v="Drawing Production" u="1"/>
        <s v="Full Absorption Rate" u="1"/>
        <s v="NG Closure (RE18/G35)" u="1"/>
        <s v="Construction Equipment" u="1"/>
        <s v="Gas Analyser" u="1"/>
        <s v="Pipeline Protection" u="1"/>
        <s v="Safety &amp; Control" u="1"/>
        <s v="Level 2" u="1"/>
        <s v="Health &amp; Safety" u="1"/>
        <s v="Vodafone" u="1"/>
        <s v="ISS Team" u="1"/>
        <s v="Siemens – Lot 1" u="1"/>
        <s v="RHI" u="1"/>
        <s v="Electrical Other" u="1"/>
        <s v="Performance Testing" u="1"/>
        <s v="Control Logic Unit" u="1"/>
        <s v="Documentation" u="1"/>
        <s v="Commissioning" u="1"/>
        <s v="Staff Costs" u="1"/>
        <s v=" Accommodation &amp; Facilities" u="1"/>
        <s v="Power Turbine (6)" u="1"/>
        <s v="FAKENHAM - Hempton Road" u="1"/>
        <s v="OTHER EQUIPMENT" u="1"/>
        <s v="Metering" u="1"/>
        <s v="Access" u="1"/>
        <s v="Nitrogen Supply Equipment" u="1"/>
        <s v="Land Disposal" u="1"/>
        <s v="Flanges" u="1"/>
        <s v="Level 1" u="1"/>
        <s v="GT Project Management - DO NOT USE" u="1"/>
        <s v="Painting" u="1"/>
        <s v="NonOpFV OpsW5 Accessories (e.g. Sat Nav)" u="1"/>
        <s v="NonOpPM OpsW5 Tools" u="1"/>
        <s v="NonOPpFF OpsS2 Office Equipment" u="1"/>
        <s v="NonOpPM OpsS2 Tools" u="1"/>
        <s v="NonOpPM OpsS5 Tools" u="1"/>
        <s v="Site Establishment" u="1"/>
        <s v="Pre-Works" u="1"/>
        <s v="Isolations" u="1"/>
        <s v="Compressor" u="1"/>
        <s v="NonOpIT OpsED WiFi &amp; networking telecom" u="1"/>
        <s v="NonOpPM OpsED Safety Equipment" u="1"/>
        <s v="NonOpPM OpsED Electrical Equipment" u="1"/>
        <s v="NonOpPM OpsED Tools" u="1"/>
        <s v="NonOpPM OpsWD Tools" u="1"/>
        <s v="Project Set up" u="1"/>
        <s v="Procurement-Supply Chain" u="1"/>
        <s v="NRO" u="1"/>
        <s v="Public Consultation" u="1"/>
        <s v="Material &amp; Equipment" u="1"/>
        <s v="NonOp Logistics Site Capex" u="1"/>
        <s v="Air Intake" u="1"/>
        <s v="Bunds" u="1"/>
        <s v="Survey" u="1"/>
        <s v="Fire &amp; Gas Detectors" u="1"/>
        <s v="Valves" u="1"/>
        <s v="Inert Gas Equipment" u="1"/>
        <s v="Heaters &amp; Boilers" u="1"/>
        <s v="Consents – Staff Costs" u="1"/>
        <s v="Environmental Engineering" u="1"/>
        <s v="Comms/ Community Engagement" u="1"/>
        <s v="Land Rights – Staff Costs" u="1"/>
        <s v=" Design Authority" u="1"/>
        <s v="Digital Enablers" u="1"/>
        <s v="Client Services" u="1"/>
        <s v="Procurement Management" u="1"/>
        <s v="Engineering" u="1"/>
        <s v="Business Development" u="1"/>
        <s v="External Affairs" u="1"/>
        <s v="Environmental Works" u="1"/>
        <s v="FEED Partner PM &amp; Integration" u="1"/>
        <s v="Land" u="1"/>
        <s v="Preliminary Design" u="1"/>
        <s v="Common New Build Engineering" u="1"/>
        <s v="New Build Pipeline Design" u="1"/>
        <s v="New Build Compressor Design" u="1"/>
        <s v="New Build AGI Design" u="1"/>
        <s v="Repurposing Pipeline Design" u="1"/>
        <s v="New Build Constructability" u="1"/>
        <s v="Repurposing Constructability" u="1"/>
        <s v="Coating" u="1"/>
        <s v="MWC Operational Acceptance" u="1"/>
        <s v="Pipeline" u="1"/>
        <s v="Pipe Supports" u="1"/>
        <s v="Pressure Vessles" u="1"/>
        <s v="Filters" u="1"/>
        <s v="Exhaust" u="1"/>
        <s v="Regulators" u="1"/>
        <s v="NonOpIT OpsS1 Non-NTS computer systems" u="1"/>
        <s v="UPS" u="1"/>
        <s v="Roads" u="1"/>
        <s v="Timesheeting" u="1"/>
        <s v="EAM Transfers" u="1"/>
        <s v="Support functions" u="1"/>
        <s v="SQA Vendor Qualification - Stage 2" u="1"/>
        <s v="SQA - Non-Conformance " u="1"/>
        <s v="SQA Vendor Qualification - Stage 2 " u="1"/>
        <s v="4.04 Overhead" u="1"/>
        <s v="4.01 NGT Project Management" u="1"/>
        <s v="4.02 NGT Staff" u="1"/>
        <s v="4.03 Capitalised Interest" u="1"/>
        <s v="4.57 Metering &amp; Quality Works" u="1"/>
        <s v="4.43 Enabling Works" u="1"/>
        <s v="4.39 MWC Project Management" u="1"/>
        <s v="4.61 Telemetry" u="1"/>
        <s v="4.67 Function Testing" u="1"/>
        <s v="4.59 Electrical: Control &amp; Instrumentati" u="1"/>
        <s v="4.09 MWC Project Management" u="1"/>
        <s v="4.10 NGT Staff" u="1"/>
        <s v="4.11 MWC Project Management" u="1"/>
        <s v="4.28 Compressors" u="1"/>
        <s v="4.27 Control Systems" u="1"/>
        <s v="Other" u="1"/>
        <s v="4.23 Contract award and Administration" u="1"/>
        <s v="GSO IT - Holding Account" u="1"/>
        <s v="GT IT - Holding Account" u="1"/>
        <s v="GT Reciever Cost CAPEX" u="1"/>
        <s v="GT Receiver Cost CAPEX" u="1"/>
        <s v="LAND ACQUISITIONS" u="1"/>
        <s v="BUILDING DEMOLTION" u="1"/>
        <s v="DEPOT RELOCATION" u="1"/>
        <s v="TELECOMS RELOCATION" u="1"/>
        <s v="OTHER COST OF SALES OPEX" u="1"/>
        <s v="NEXUS: COS OPEX (FINANCE USE ONLY)" u="1"/>
        <s v="HOLDER DEMO TRANSFER (FINANCE USE ONLY)" u="1"/>
        <s v="East" u="1"/>
        <s v="REGION 004&amp;North" u="1"/>
        <s v="(GSO) - Capex" u="1"/>
        <s v="GSO Metering CAPEX" u="1"/>
        <s v="GSO CAPEX" u="1"/>
        <s v="GSO Receiver Cost CAPEX" u="1"/>
      </sharedItems>
    </cacheField>
    <cacheField name="Object Class" numFmtId="0">
      <sharedItems containsBlank="1"/>
    </cacheField>
    <cacheField name="Person Responsible" numFmtId="0">
      <sharedItems containsBlank="1"/>
    </cacheField>
    <cacheField name="Initiative ID" numFmtId="0">
      <sharedItems containsBlank="1" count="357">
        <s v="INITIATIVE 00010"/>
        <s v="INITIATIVE 00011"/>
        <s v="INITIATIVE 00129"/>
        <s v="INITIATIVE 00145"/>
        <s v="INITIATIVE 00146"/>
        <s v="INITIATIVE 00160"/>
        <s v="INITIATIVE 00173"/>
        <s v="INITIATIVE 00158"/>
        <s v="INITIATIVE 00192"/>
        <s v="INITIATIVE 00282"/>
        <m/>
        <s v="40003941" u="1"/>
        <s v="30001225" u="1"/>
        <s v="30000822" u="1"/>
        <s v="30000254" u="1"/>
        <s v="30000011" u="1"/>
        <s v="30000829" u="1"/>
        <s v="30001194" u="1"/>
        <s v="30000821" u="1"/>
        <s v="30001102" u="1"/>
        <s v="30001064" u="1"/>
        <s v="30000828" u="1"/>
        <s v="30000813" u="1"/>
        <s v="30001101" u="1"/>
        <s v="30000050" u="1"/>
        <s v="30000984" u="1"/>
        <s v="30001192" u="1"/>
        <s v="30001288" u="1"/>
        <s v="30001313" u="1"/>
        <s v="30000817" u="1"/>
        <s v="30001314" u="1"/>
        <s v="30000745" u="1"/>
        <s v="30000826" u="1"/>
        <s v="30001021" u="1"/>
        <s v="30000815" u="1"/>
        <s v="30001223" u="1"/>
        <s v="30000748" u="1"/>
        <s v="30000825" u="1"/>
        <s v="30000016" u="1"/>
        <s v="30000731" u="1"/>
        <s v="30000824" u="1"/>
        <s v="30001097" u="1"/>
        <s v="30000820" u="1"/>
        <s v="30000993" u="1"/>
        <s v="30001195" u="1"/>
        <s v="30000823" u="1"/>
        <s v="30000995" u="1"/>
        <s v="30001267" u="1"/>
        <s v="30001106" u="1"/>
        <s v="30000819" u="1"/>
        <s v="30000808" u="1"/>
        <s v="30000744" u="1"/>
        <s v="30000830" u="1"/>
        <s v="30000688" u="1"/>
        <s v="30001188" u="1"/>
        <s v="30000997" u="1"/>
        <s v="30000818" u="1"/>
        <s v="30000012" u="1"/>
        <s v="30001406" u="1"/>
        <s v="30001409" u="1"/>
        <s v="30001630" u="1"/>
        <s v="30001694" u="1"/>
        <s v="30001746" u="1"/>
        <s v="30001759" u="1"/>
        <s v="30001751" u="1"/>
        <s v="30001162" u="1"/>
        <s v="30001940" u="1"/>
        <s v="30002006" u="1"/>
        <s v="30001080" u="1"/>
        <s v="30002140" u="1"/>
        <s v="30002141" u="1"/>
        <s v="30002217" u="1"/>
        <s v="30002238" u="1"/>
        <s v="30002274" u="1"/>
        <s v="30002298" u="1"/>
        <s v="30002324" u="1"/>
        <s v="30002358" u="1"/>
        <s v="30002369" u="1"/>
        <s v="30002389" u="1"/>
        <s v="30002392" u="1"/>
        <s v="30002393" u="1"/>
        <s v="30002394" u="1"/>
        <s v="30002379" u="1"/>
        <s v="30002445" u="1"/>
        <s v="30002428" u="1"/>
        <s v="30000733" u="1"/>
        <s v="30000769" u="1"/>
        <s v="30000010" u="1"/>
        <s v="30000762" u="1"/>
        <s v="30000734" u="1"/>
        <s v="30001095" u="1"/>
        <s v="30000756" u="1"/>
        <s v="30001004" u="1"/>
        <s v="30001226" u="1"/>
        <s v="30001006" u="1"/>
        <s v="30001075" u="1"/>
        <s v="30000812" u="1"/>
        <s v="30001222" u="1"/>
        <s v="30002537" u="1"/>
        <s v="30002599" u="1"/>
        <s v="30002611" u="1"/>
        <s v="30002687" u="1"/>
        <s v="30002688" u="1"/>
        <s v="30000724" u="1"/>
        <s v="30002794" u="1"/>
        <s v="30002872" u="1"/>
        <s v="TEST1" u="1"/>
        <s v="30002895" u="1"/>
        <s v="30003004" u="1"/>
        <s v="30003005" u="1"/>
        <s v="30003014" u="1"/>
        <s v="30003025" u="1"/>
        <s v="30003026" u="1"/>
        <s v="30003068" u="1"/>
        <s v="30001050" u="1"/>
        <s v="30003210" u="1"/>
        <s v="30003024" u="1"/>
        <s v="30003299" u="1"/>
        <s v="30003353" u="1"/>
        <s v="30002535" u="1"/>
        <s v="30003453" u="1"/>
        <s v="30003448" u="1"/>
        <s v="30003519" u="1"/>
        <s v="30003597" u="1"/>
        <s v="30003576" u="1"/>
        <s v="30003599" u="1"/>
        <s v="30002218" u="1"/>
        <s v="30003690" u="1"/>
        <s v="30003692" u="1"/>
        <s v="30003732" u="1"/>
        <s v="30003735" u="1"/>
        <s v="30003737" u="1"/>
        <s v="30003773" u="1"/>
        <s v="30003858" u="1"/>
        <s v="30003929" u="1"/>
        <s v="30003942" u="1"/>
        <s v="30003997" u="1"/>
        <s v="30003128" u="1"/>
        <s v="30004069" u="1"/>
        <s v="30003989" u="1"/>
        <s v="30004162" u="1"/>
        <s v="30004298" u="1"/>
        <s v="30001749" u="1"/>
        <s v="30004656" u="1"/>
        <s v="30004687" u="1"/>
        <s v="30004704" u="1"/>
        <s v="30001750" u="1"/>
        <s v="30005334" u="1"/>
        <s v="30004799" u="1"/>
        <s v="30004892" u="1"/>
        <s v="30004939" u="1"/>
        <s v="30004693" u="1"/>
        <s v="30004694" u="1"/>
        <s v="30004956" u="1"/>
        <s v="30004994" u="1"/>
        <s v="30005037" u="1"/>
        <s v="30005038" u="1"/>
        <s v="30004407" u="1"/>
        <s v="30005121" u="1"/>
        <s v="30005131" u="1"/>
        <s v="30005132" u="1"/>
        <s v="30005143" u="1"/>
        <s v="30005223" u="1"/>
        <s v="30005224" u="1"/>
        <s v="30005309" u="1"/>
        <s v="30005414" u="1"/>
        <s v="30005422" u="1"/>
        <s v="30005562" u="1"/>
        <s v="30005563" u="1"/>
        <s v="30005551" u="1"/>
        <s v="30005577" u="1"/>
        <s v="30005571" u="1"/>
        <s v="30005598" u="1"/>
        <s v="30005601" u="1"/>
        <s v="30005602" u="1"/>
        <s v="30004689" u="1"/>
        <s v="30005612" u="1"/>
        <s v="30005623" u="1"/>
        <s v="30005625" u="1"/>
        <s v="30005694" u="1"/>
        <s v="30005722" u="1"/>
        <s v="30005735" u="1"/>
        <s v="30005736" u="1"/>
        <s v="30005743" u="1"/>
        <s v="30005769" u="1"/>
        <s v="30005688" u="1"/>
        <s v="30006041" u="1"/>
        <s v="30006136" u="1"/>
        <s v="30005572" u="1"/>
        <s v="30006086" u="1"/>
        <s v="30003040" u="1"/>
        <s v="30007389" u="1"/>
        <s v="30006259" u="1"/>
        <s v="30006273" u="1"/>
        <s v="30006335" u="1"/>
        <s v="30006223" u="1"/>
        <s v="30006384" u="1"/>
        <s v="30006433" u="1"/>
        <s v="30006494" u="1"/>
        <s v="30005583" u="1"/>
        <s v="30006511" u="1"/>
        <s v="30006512" u="1"/>
        <s v="30006532" u="1"/>
        <s v="30005767" u="1"/>
        <s v="30006591" u="1"/>
        <s v="30006170" u="1"/>
        <s v="30006661" u="1"/>
        <s v="30006673" u="1"/>
        <s v="30006696" u="1"/>
        <s v="30006692" u="1"/>
        <s v="30006703" u="1"/>
        <s v="30006701" u="1"/>
        <s v="30005470" u="1"/>
        <s v="30006714" u="1"/>
        <s v="30006734" u="1"/>
        <s v="30006732" u="1"/>
        <s v="30006737" u="1"/>
        <s v="30006739" u="1"/>
        <s v="30006743" u="1"/>
        <s v="30006745" u="1"/>
        <s v="30006740" u="1"/>
        <s v="30006795" u="1"/>
        <s v="30006888" u="1"/>
        <s v="30006889" u="1"/>
        <s v="30006913" u="1"/>
        <s v="30006931" u="1"/>
        <s v="30006531" u="1"/>
        <s v="30006736" u="1"/>
        <s v="30006543" u="1"/>
        <s v="30007107" u="1"/>
        <s v="30007094" u="1"/>
        <s v="30007134" u="1"/>
        <s v="30007139" u="1"/>
        <s v="30007149" u="1"/>
        <s v="30007140" u="1"/>
        <s v="30005579" u="1"/>
        <s v="30007158" u="1"/>
        <s v="30007167" u="1"/>
        <s v="30007175" u="1"/>
        <s v="30007181" u="1"/>
        <s v="30007186" u="1"/>
        <s v="30007200" u="1"/>
        <s v="30007227" u="1"/>
        <s v="30007299" u="1"/>
        <s v="30007300" u="1"/>
        <s v="30007287" u="1"/>
        <s v="30007288" u="1"/>
        <s v="30007301" u="1"/>
        <s v="30007289" u="1"/>
        <s v="30007290" u="1"/>
        <s v="30007291" u="1"/>
        <s v="30007303" u="1"/>
        <s v="30007315" u="1"/>
        <s v="30007356" u="1"/>
        <s v="30007358" u="1"/>
        <s v="30007347" u="1"/>
        <s v="30007388" u="1"/>
        <s v="30007392" u="1"/>
        <s v="30007393" u="1"/>
        <s v="30007450" u="1"/>
        <s v="30007455" u="1"/>
        <s v="30007456" u="1"/>
        <s v="30007457" u="1"/>
        <s v="30007477" u="1"/>
        <s v="30007478" u="1"/>
        <s v="30007479" u="1"/>
        <s v="30007482" u="1"/>
        <s v="30007483" u="1"/>
        <s v="30007484" u="1"/>
        <s v="30007485" u="1"/>
        <s v="30007486" u="1"/>
        <s v="30007466" u="1"/>
        <s v="30007470" u="1"/>
        <s v="30007493" u="1"/>
        <s v="30007515" u="1"/>
        <s v="30007517" u="1"/>
        <s v="30007519" u="1"/>
        <s v="30007521" u="1"/>
        <s v="30007523" u="1"/>
        <s v="30007511" u="1"/>
        <s v="30007547" u="1"/>
        <s v="30007551" u="1"/>
        <s v="30007487" u="1"/>
        <s v="30007564" u="1"/>
        <s v="30006744" u="1"/>
        <s v="30007573" u="1"/>
        <s v="30007490" u="1"/>
        <s v="30006681" u="1"/>
        <s v="30005613" u="1"/>
        <s v="30007357" u="1"/>
        <s v="30007621" u="1"/>
        <s v="30007622" u="1"/>
        <s v="30007626" u="1"/>
        <s v="30007637" u="1"/>
        <s v="30007643" u="1"/>
        <s v="30007640" u="1"/>
        <s v="30007651" u="1"/>
        <s v="30007653" u="1"/>
        <s v="30007666" u="1"/>
        <s v="30007667" u="1"/>
        <s v="30007657" u="1"/>
        <s v="30007687" u="1"/>
        <s v="30007688" u="1"/>
        <s v="30007681" u="1"/>
        <s v="30006731" u="1"/>
        <s v="30007747" u="1"/>
        <s v="40003950" u="1"/>
        <s v="40003943" u="1"/>
        <s v="40003960" u="1"/>
        <s v="40003961" u="1"/>
        <s v="40003970" u="1"/>
        <s v="40003972" u="1"/>
        <s v="40003973" u="1"/>
        <s v="40003974" u="1"/>
        <s v="40003983" u="1"/>
        <s v="40004008" u="1"/>
        <s v="40004007" u="1"/>
        <s v="40004023" u="1"/>
        <s v="40001576" u="1"/>
        <s v="40001575" u="1"/>
        <s v="40003091" u="1"/>
        <s v="40003329" u="1"/>
        <s v="40003527" u="1"/>
        <s v="40003653" u="1"/>
        <s v="40003760" u="1"/>
        <s v="40003879" u="1"/>
        <s v="40003892" u="1"/>
        <s v="60002946" u="1"/>
        <s v="60002998" u="1"/>
        <s v="60003116" u="1"/>
        <s v="60003136" u="1"/>
        <s v="40003989" u="1"/>
        <s v="40003984" u="1"/>
        <s v="40003985" u="1"/>
        <s v="40004010" u="1"/>
        <s v="40004002" u="1"/>
        <s v="40004012" u="1"/>
        <s v="40004014" u="1"/>
        <s v="40004035" u="1"/>
        <s v="40004062" u="1"/>
        <s v="40004070" u="1"/>
        <s v="40003962" u="1"/>
        <s v="40003963" u="1"/>
        <s v="40003969" u="1"/>
        <s v="40003975" u="1"/>
        <s v="40003976" u="1"/>
        <s v="40003977" u="1"/>
        <s v="40003979" u="1"/>
        <s v="40003002" u="1"/>
        <s v="40003120" u="1"/>
        <s v="40003459" u="1"/>
        <s v="40003526" u="1"/>
        <s v="40003799" u="1"/>
        <s v="40004016" u="1"/>
        <s v="40004029" u="1"/>
        <s v="40004037" u="1"/>
        <s v="40004063" u="1"/>
      </sharedItems>
    </cacheField>
    <cacheField name="Scheme No/Proj Ref" numFmtId="0">
      <sharedItems containsBlank="1"/>
    </cacheField>
    <cacheField name="WBS Regulatory Activity" numFmtId="0">
      <sharedItems containsBlank="1"/>
    </cacheField>
    <cacheField name="WBS Regulatory Activity | Posting period" numFmtId="0">
      <sharedItems containsBlank="1"/>
    </cacheField>
    <cacheField name="1" numFmtId="0">
      <sharedItems containsString="0" containsBlank="1" containsNumber="1" minValue="-91709.631674999997" maxValue="2279119.3110179999"/>
    </cacheField>
    <cacheField name="2" numFmtId="0">
      <sharedItems containsString="0" containsBlank="1" containsNumber="1" minValue="-343372.62233699998" maxValue="1842098.3446859999"/>
    </cacheField>
    <cacheField name="3" numFmtId="0">
      <sharedItems containsString="0" containsBlank="1" containsNumber="1" minValue="-11306863.376576999" maxValue="9564617.2479929999"/>
    </cacheField>
    <cacheField name="4" numFmtId="0">
      <sharedItems containsString="0" containsBlank="1" containsNumber="1" minValue="-1684734.3256590001" maxValue="4198597.5355559997"/>
    </cacheField>
    <cacheField name="5" numFmtId="0">
      <sharedItems containsNonDate="0" containsString="0" containsBlank="1"/>
    </cacheField>
    <cacheField name="6" numFmtId="0">
      <sharedItems containsNonDate="0" containsString="0" containsBlank="1"/>
    </cacheField>
    <cacheField name="7" numFmtId="0">
      <sharedItems containsNonDate="0" containsString="0" containsBlank="1"/>
    </cacheField>
    <cacheField name="8" numFmtId="0">
      <sharedItems containsNonDate="0" containsString="0" containsBlank="1"/>
    </cacheField>
    <cacheField name="9" numFmtId="0">
      <sharedItems containsNonDate="0" containsString="0" containsBlank="1"/>
    </cacheField>
    <cacheField name="1PROJECT 0001" numFmtId="0">
      <sharedItems containsNonDate="0" containsString="0" containsBlank="1"/>
    </cacheField>
    <cacheField name="11" numFmtId="0">
      <sharedItems containsNonDate="0" containsString="0" containsBlank="1"/>
    </cacheField>
    <cacheField name="1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0.599932407407" createdVersion="8" refreshedVersion="8" minRefreshableVersion="3" recordCount="51" xr:uid="{00000000-000A-0000-FFFF-FFFF18000000}">
  <cacheSource type="worksheet">
    <worksheetSource ref="A1:R6205" sheet="Copperleaf Data"/>
  </cacheSource>
  <cacheFields count="18">
    <cacheField name="InvestmentCode" numFmtId="0">
      <sharedItems containsBlank="1" count="6255">
        <s v="INITIATIVE 00347"/>
        <s v="INITIATIVE 00352"/>
        <s v="INITIATIVE 00353"/>
        <s v="INITIATIVE 00356"/>
        <s v="INITIATIVE 00359"/>
        <s v="INITIATIVE 00370"/>
        <s v="INITIATIVE 00372"/>
        <s v="INITIATIVE 00373"/>
        <s v="INITIATIVE 00374"/>
        <s v="INITIATIVE 00377"/>
        <s v="INITIATIVE 00379"/>
        <s v="INITIATIVE 00383"/>
        <s v="INITIATIVE 00389"/>
        <s v="INITIATIVE 00391"/>
        <s v="INITIATIVE 00393"/>
        <s v="INITIATIVE 00394"/>
        <s v="INITIATIVE 00397"/>
        <s v="INITIATIVE 00399"/>
        <s v="INITIATIVE 00404"/>
        <s v="INITIATIVE 00405"/>
        <s v="INITIATIVE 00407"/>
        <s v="INITIATIVE 00411"/>
        <s v="INITIATIVE 00415"/>
        <s v="INITIATIVE 00416"/>
        <s v="INITIATIVE 00417"/>
        <s v="INITIATIVE 00422"/>
        <s v="INITIATIVE 00431"/>
        <s v="INITIATIVE 00432"/>
        <s v="INITIATIVE 00434"/>
        <s v="INITIATIVE 00436"/>
        <s v="INITIATIVE 00437"/>
        <s v="INITIATIVE 00439"/>
        <s v="INITIATIVE 00442"/>
        <s v="INITIATIVE 00446"/>
        <s v="INITIATIVE 00448"/>
        <s v="INITIATIVE 00450"/>
        <s v="INITIATIVE 00451"/>
        <s v="INITIATIVE 00455"/>
        <s v="INITIATIVE 00457"/>
        <s v="INITIATIVE 00460"/>
        <s v="INITIATIVE 00461"/>
        <s v="INITIATIVE 00465"/>
        <s v="INITIATIVE 00467"/>
        <s v="INITIATIVE 00470"/>
        <s v="INITIATIVE 00476"/>
        <s v="INITIATIVE 00477"/>
        <s v="INITIATIVE 00483"/>
        <s v="INITIATIVE 00484"/>
        <s v="INITIATIVE 00485"/>
        <s v="INITIATIVE 00486"/>
        <m/>
        <s v="COMP1065058" u="1"/>
        <s v="COMP1065065" u="1"/>
        <s v="COMP1065067" u="1"/>
        <s v="COMP1066324" u="1"/>
        <s v="COMP1066329" u="1"/>
        <s v="COMP1066424" u="1"/>
        <s v="COMP1073002" u="1"/>
        <s v="COMP1073002-3" u="1"/>
        <s v="COMP1073002-4" u="1"/>
        <s v="COMP1073004-T2" u="1"/>
        <s v="COMP1073016" u="1"/>
        <s v="COMP1073023" u="1"/>
        <s v="COMP1073085" u="1"/>
        <s v="COMP1073085-5" u="1"/>
        <s v="COMP1073088" u="1"/>
        <s v="COMP1073091" u="1"/>
        <s v="COMP1073102" u="1"/>
        <s v="COMP1073104" u="1"/>
        <s v="COMP1073109" u="1"/>
        <s v="COMP1073110" u="1"/>
        <s v="COMP1073112" u="1"/>
        <s v="COMP1073121" u="1"/>
        <s v="COMP1073215" u="1"/>
        <s v="COMP1073219" u="1"/>
        <s v="COMP1073220" u="1"/>
        <s v="COMP1073236" u="1"/>
        <s v="COMP1073269" u="1"/>
        <s v="COMP1073275" u="1"/>
        <s v="COMP1073277" u="1"/>
        <s v="COMP1073304" u="1"/>
        <s v="COMP1073305" u="1"/>
        <s v="COMP1073308" u="1"/>
        <s v="COMP1073313" u="1"/>
        <s v="COMP1073319" u="1"/>
        <s v="COMP1073326" u="1"/>
        <s v="COMP1073328" u="1"/>
        <s v="COMP1073329" u="1"/>
        <s v="COMP1073333" u="1"/>
        <s v="COMP1073335" u="1"/>
        <s v="COMP1073338" u="1"/>
        <s v="COMP1073339" u="1"/>
        <s v="COMP1073400" u="1"/>
        <s v="COMP1073401" u="1"/>
        <s v="COMP1073404" u="1"/>
        <s v="COMP1073415" u="1"/>
        <s v="COMP1073422" u="1"/>
        <s v="COMP1073516" u="1"/>
        <s v="COMP1073523" u="1"/>
        <s v="COMP1073527" u="1"/>
        <s v="COMP1073528" u="1"/>
        <s v="COMP1073552" u="1"/>
        <s v="COMP1073554" u="1"/>
        <s v="COMP1073570" u="1"/>
        <s v="COMP1073593" u="1"/>
        <s v="COMP1073605" u="1"/>
        <s v="COMP1073611" u="1"/>
        <s v="COMP1073654" u="1"/>
        <s v="COMP1073705" u="1"/>
        <s v="COMP1073709" u="1"/>
        <s v="COMP1073712" u="1"/>
        <s v="COMP1073714" u="1"/>
        <s v="COMP1073716" u="1"/>
        <s v="COMP1073717" u="1"/>
        <s v="COMP1073718" u="1"/>
        <s v="COMP1073719" u="1"/>
        <s v="COMP1073727" u="1"/>
        <s v="COMP1080002" u="1"/>
        <s v="COMP1080005" u="1"/>
        <s v="COMP1080006" u="1"/>
        <s v="COMP1080007" u="1"/>
        <s v="COMP1080009" u="1"/>
        <s v="COMP1080014" u="1"/>
        <s v="COMP1080042" u="1"/>
        <s v="COMP1080080" u="1"/>
        <s v="COMP1080112" u="1"/>
        <s v="COMP1080149" u="1"/>
        <s v="COMP1080195" u="1"/>
        <s v="COMP1080196" u="1"/>
        <s v="COMP1100775" u="1"/>
        <s v="COMP1100795" u="1"/>
        <s v="COMP1100798" u="1"/>
        <s v="COMP1100813" u="1"/>
        <s v="COMP1100821" u="1"/>
        <s v="COMP1100823" u="1"/>
        <s v="COMP1110114" u="1"/>
        <s v="COMP1110117" u="1"/>
        <s v="COMP1110121" u="1"/>
        <s v="COMP1110123" u="1"/>
        <s v="COMP1110128" u="1"/>
        <s v="COMP1110158" u="1"/>
        <s v="COMP1110171" u="1"/>
        <s v="COMP1110172" u="1"/>
        <s v="COMP1203893" u="1"/>
        <s v="COMP1203900" u="1"/>
        <s v="COMP1203905" u="1"/>
        <s v="COMP1203908" u="1"/>
        <s v="COMP1203910" u="1"/>
        <s v="COMP1203916" u="1"/>
        <s v="COMP1203920" u="1"/>
        <s v="COMP1203923" u="1"/>
        <s v="COMP1203925" u="1"/>
        <s v="COMP1203926" u="1"/>
        <s v="COMP1203929" u="1"/>
        <s v="COMP1203935" u="1"/>
        <s v="COMP1203936" u="1"/>
        <s v="COMP1203942" u="1"/>
        <s v="COMP1203944" u="1"/>
        <s v="COMP1203945" u="1"/>
        <s v="COMP1203948" u="1"/>
        <s v="COMP1203949" u="1"/>
        <s v="COMP1203950" u="1"/>
        <s v="COMP1203952" u="1"/>
        <s v="COMP1203959" u="1"/>
        <s v="COMP1203961" u="1"/>
        <s v="COMP1203963" u="1"/>
        <s v="COMP1203966" u="1"/>
        <s v="COMP1203967" u="1"/>
        <s v="COMP1203970" u="1"/>
        <s v="COMP1203971" u="1"/>
        <s v="COMP1203974" u="1"/>
        <s v="COMP1203975" u="1"/>
        <s v="COMP1203980" u="1"/>
        <s v="COMP1203992" u="1"/>
        <s v="COMP1203998" u="1"/>
        <s v="COMP1203999" u="1"/>
        <s v="COMP1204001" u="1"/>
        <s v="COMP1204003" u="1"/>
        <s v="COMP1204010" u="1"/>
        <s v="COMP1204016" u="1"/>
        <s v="COMP1204022" u="1"/>
        <s v="COMP1204026" u="1"/>
        <s v="COMP1204027" u="1"/>
        <s v="COMP1204045" u="1"/>
        <s v="COMP1204049" u="1"/>
        <s v="COMP1204050" u="1"/>
        <s v="COMP1204054" u="1"/>
        <s v="COMP1204057" u="1"/>
        <s v="COMP1204503" u="1"/>
        <s v="COMP1204508" u="1"/>
        <s v="COMP1204510" u="1"/>
        <s v="COMP1204512" u="1"/>
        <s v="COMP1204517" u="1"/>
        <s v="COMP1204520" u="1"/>
        <s v="COMP1204524" u="1"/>
        <s v="COMP1204527" u="1"/>
        <s v="COMP1204529" u="1"/>
        <s v="COMP1204530" u="1"/>
        <s v="COMP1204531" u="1"/>
        <s v="COMP1204532" u="1"/>
        <s v="COMP1204533" u="1"/>
        <s v="COMP1204534" u="1"/>
        <s v="COMP1204535" u="1"/>
        <s v="COMP1204539" u="1"/>
        <s v="COMP1204544" u="1"/>
        <s v="COMP1204548" u="1"/>
        <s v="COMP1204549" u="1"/>
        <s v="COMP1204551" u="1"/>
        <s v="COMP1204552" u="1"/>
        <s v="COMP1204557" u="1"/>
        <s v="COMP1204558" u="1"/>
        <s v="COMP1204572" u="1"/>
        <s v="COMP1204574" u="1"/>
        <s v="COMP1204582" u="1"/>
        <s v="COMP1204584" u="1"/>
        <s v="COMP1204591" u="1"/>
        <s v="COMP1204593" u="1"/>
        <s v="COMP1204598" u="1"/>
        <s v="COMP1204607" u="1"/>
        <s v="COMP1204612" u="1"/>
        <s v="COMP1204626" u="1"/>
        <s v="COMP1204638" u="1"/>
        <s v="COMP1204640" u="1"/>
        <s v="COMP1204641" u="1"/>
        <s v="COMP1204643" u="1"/>
        <s v="COMP1204647" u="1"/>
        <s v="COMP1204653" u="1"/>
        <s v="COMP1204654" u="1"/>
        <s v="COMP1204657" u="1"/>
        <s v="COMP1204659" u="1"/>
        <s v="COMP1204660" u="1"/>
        <s v="COMP1206929" u="1"/>
        <s v="COMP1206935" u="1"/>
        <s v="COMP1206941" u="1"/>
        <s v="COMP1208329" u="1"/>
        <s v="COMP1208335" u="1"/>
        <s v="COMP1208340" u="1"/>
        <s v="COMP1208426" u="1"/>
        <s v="COMP1209000" u="1"/>
        <s v="COMP1209004" u="1"/>
        <s v="COMP1209006" u="1"/>
        <s v="COMP1209010" u="1"/>
        <s v="COMP1209017" u="1"/>
        <s v="COMP1209018" u="1"/>
        <s v="COMP1209024" u="1"/>
        <s v="COMP1209025" u="1"/>
        <s v="COMP1209026" u="1"/>
        <s v="COMP1209028" u="1"/>
        <s v="COMP1209030" u="1"/>
        <s v="COMP1209032" u="1"/>
        <s v="COMP1209034" u="1"/>
        <s v="COMP1209037" u="1"/>
        <s v="COMP1209038" u="1"/>
        <s v="COMP1209041" u="1"/>
        <s v="COMP1209042" u="1"/>
        <s v="COMP1209043" u="1"/>
        <s v="COMP1209045" u="1"/>
        <s v="COMP1209052" u="1"/>
        <s v="COMP1209054" u="1"/>
        <s v="COMP1209055" u="1"/>
        <s v="COMP1209057" u="1"/>
        <s v="COMP1209060" u="1"/>
        <s v="COMP1209061" u="1"/>
        <s v="COMP1209062" u="1"/>
        <s v="COMP1209065" u="1"/>
        <s v="COMP1209071" u="1"/>
        <s v="COMP1209072" u="1"/>
        <s v="COMP1209073" u="1"/>
        <s v="COMP1209080" u="1"/>
        <s v="COMP1209087" u="1"/>
        <s v="COMP1209089" u="1"/>
        <s v="COMP1209091" u="1"/>
        <s v="COMP1209099" u="1"/>
        <s v="COMP1209101" u="1"/>
        <s v="COMP1209102" u="1"/>
        <s v="COMP1209104" u="1"/>
        <s v="COMP1209112" u="1"/>
        <s v="COMP1209113" u="1"/>
        <s v="COMP1209118" u="1"/>
        <s v="COMP1209122" u="1"/>
        <s v="COMP1209123" u="1"/>
        <s v="COMP1209126" u="1"/>
        <s v="COMP1209130" u="1"/>
        <s v="COMP1209131" u="1"/>
        <s v="COMP1209133" u="1"/>
        <s v="COMP1209134" u="1"/>
        <s v="COMP1209135" u="1"/>
        <s v="COMP1209138" u="1"/>
        <s v="COMP1209143" u="1"/>
        <s v="COMP1209145" u="1"/>
        <s v="COMP1209146" u="1"/>
        <s v="COMP1209147" u="1"/>
        <s v="COMP1209149" u="1"/>
        <s v="COMP1209150" u="1"/>
        <s v="CUST1207165" u="1"/>
        <s v="CUST1207168" u="1"/>
        <s v="CUST1207170" u="1"/>
        <s v="CUST1207171" u="1"/>
        <s v="CUST1207175" u="1"/>
        <s v="CYPSUP105001" u="1"/>
        <s v="CYPSUP1063718" u="1"/>
        <s v="CYPSUP1063725" u="1"/>
        <s v="CYPSUP1063728" u="1"/>
        <s v="CYPSUP1063729" u="1"/>
        <s v="CYPSUP1063731" u="1"/>
        <s v="CYPSUP1063735" u="1"/>
        <s v="CYPSUP1063739" u="1"/>
        <s v="CYPSUP1063759" u="1"/>
        <s v="CYPSUP1063760" u="1"/>
        <s v="CYPSUP1063764" u="1"/>
        <s v="CYPSUP1063766" u="1"/>
        <s v="CYPSUP1063771" u="1"/>
        <s v="CYPSUP1063779" u="1"/>
        <s v="CYPSUP1063783" u="1"/>
        <s v="CYPSUP1073012" u="1"/>
        <s v="CYPSUP1073024" u="1"/>
        <s v="CYPSUP1073050" u="1"/>
        <s v="CYPSUP1073074" u="1"/>
        <s v="CYPSUP1073080" u="1"/>
        <s v="CYPSUP1073086" u="1"/>
        <s v="CYPSUP1073087" u="1"/>
        <s v="CYPSUP1073104" u="1"/>
        <s v="CYPSUP1073121" u="1"/>
        <s v="CYPSUP1073166" u="1"/>
        <s v="CYPSUP1073169" u="1"/>
        <s v="CYPSUP1073185" u="1"/>
        <s v="CYPSUP1073190" u="1"/>
        <s v="CYPSUP1073199" u="1"/>
        <s v="CYPSUP1073207" u="1"/>
        <s v="CYPSUP1073209" u="1"/>
        <s v="CYPSUP1073216" u="1"/>
        <s v="CYPSUP1073221" u="1"/>
        <s v="CYPSUP1073228" u="1"/>
        <s v="CYPSUP1073235" u="1"/>
        <s v="CYPSUP1073237" u="1"/>
        <s v="CYPSUP1073241" u="1"/>
        <s v="CYPSUP1073242" u="1"/>
        <s v="CYPSUP1073244" u="1"/>
        <s v="CYPSUP1073246" u="1"/>
        <s v="CYPSUP1073248" u="1"/>
        <s v="CYPSUP1073254" u="1"/>
        <s v="CYPSUP1073259" u="1"/>
        <s v="CYPSUP1073260" u="1"/>
        <s v="CYPSUP1073261" u="1"/>
        <s v="CYPSUP1073266" u="1"/>
        <s v="CYPSUP1073269" u="1"/>
        <s v="CYPSUP1073277" u="1"/>
        <s v="CYPSUP1073278" u="1"/>
        <s v="CYPSUP1073280" u="1"/>
        <s v="CYPSUP1073281" u="1"/>
        <s v="CYPSUP1073288" u="1"/>
        <s v="CYPSUP1073293" u="1"/>
        <s v="CYPSUP1074015" u="1"/>
        <s v="CYPSUP1074018" u="1"/>
        <s v="CYPSUP1080002" u="1"/>
        <s v="CYPSUP1080019" u="1"/>
        <s v="CYPSUP1080020" u="1"/>
        <s v="CYPSUP1100002" u="1"/>
        <s v="CYPSUP1100007" u="1"/>
        <s v="CYPSUP1100009" u="1"/>
        <s v="CYPSUP1100010" u="1"/>
        <s v="CYPSUP1100011" u="1"/>
        <s v="CYPSUP1100014" u="1"/>
        <s v="CYPSUP1100016" u="1"/>
        <s v="CYPSUP1100019" u="1"/>
        <s v="CYPSUP1100027" u="1"/>
        <s v="CYPSUP1100032" u="1"/>
        <s v="CYPSUP1100037" u="1"/>
        <s v="CYPSUP1100063" u="1"/>
        <s v="CYPSUP1100068" u="1"/>
        <s v="CYPSUP1100072" u="1"/>
        <s v="CYPSUP1203408" u="1"/>
        <s v="CYPSUP1203420" u="1"/>
        <s v="CYPSUP1203423" u="1"/>
        <s v="CYPSUP1203429" u="1"/>
        <s v="CYPSUP1203435" u="1"/>
        <s v="CYPSUP1203445" u="1"/>
        <s v="CYPSUP1203448" u="1"/>
        <s v="CYPSUP1203455" u="1"/>
        <s v="CYPSUP1203457" u="1"/>
        <s v="CYPSUP1203458" u="1"/>
        <s v="CYPSUP1203473" u="1"/>
        <s v="CYPSUP1203473-1" u="1"/>
        <s v="CYPSUP1203603" u="1"/>
        <s v="CYPSUP1203606" u="1"/>
        <s v="CYPSUP1203607" u="1"/>
        <s v="CYPSUP1203610" u="1"/>
        <s v="CYPSUP1203613" u="1"/>
        <s v="CYPSUP1203614" u="1"/>
        <s v="CYPSUP1203618" u="1"/>
        <s v="CYPSUP1203620" u="1"/>
        <s v="CYPSUP1203621" u="1"/>
        <s v="CYPSUP1203622" u="1"/>
        <s v="CYPSUP1203625" u="1"/>
        <s v="CYPSUP1203627" u="1"/>
        <s v="CYPSUP1203628" u="1"/>
        <s v="CYPSUP1203629" u="1"/>
        <s v="CYPSUP1203631" u="1"/>
        <s v="CYPSUP120506" u="1"/>
        <s v="CYPSUP120507" u="1"/>
        <s v="CYPSUP120510" u="1"/>
        <s v="CYPSUP120518" u="1"/>
        <s v="CYPSUP120520" u="1"/>
        <s v="CYPSUP120524" u="1"/>
        <s v="CYPSUP120525" u="1"/>
        <s v="CYPSUP1205616" u="1"/>
        <s v="CYPSUP1206012" u="1"/>
        <s v="CYPSUP1206015" u="1"/>
        <s v="CYPSUP1206016" u="1"/>
        <s v="CYPSUP1206027" u="1"/>
        <s v="CYPSUP1206030" u="1"/>
        <s v="CYPSUP1206032" u="1"/>
        <s v="CYPSUP1206036" u="1"/>
        <s v="CYPSUP1206037" u="1"/>
        <s v="CYPSUP1206931" u="1"/>
        <s v="CYPSUP1206934" u="1"/>
        <s v="CYPSUP1206936" u="1"/>
        <s v="CYPSUP1206937" u="1"/>
        <s v="CYPSUP1206939" u="1"/>
        <s v="CYPSUP1206944" u="1"/>
        <s v="CYPSUP1206945" u="1"/>
        <s v="CYPSUP1206949" u="1"/>
        <s v="CYPSUP1206950" u="1"/>
        <s v="CYPSUP1206954" u="1"/>
        <s v="CYPSUP1206955" u="1"/>
        <s v="CYPSUP1206969" u="1"/>
        <s v="CYPSUP1206970" u="1"/>
        <s v="CYPSUP1206971" u="1"/>
        <s v="CYPSUP1206976" u="1"/>
        <s v="CYPSUP1206978" u="1"/>
        <s v="CYPSUP1206982" u="1"/>
        <s v="CYPSUP1206983" u="1"/>
        <s v="CYPSUP1206985" u="1"/>
        <s v="CYPSUP1206986" u="1"/>
        <s v="CYPSUP1206994" u="1"/>
        <s v="CYPSUP1206996" u="1"/>
        <s v="CYPSUP1207078" u="1"/>
        <s v="CYPSUP1207082" u="1"/>
        <s v="CYPSUP1207086" u="1"/>
        <s v="CYPSUP1207089" u="1"/>
        <s v="CYPSUP1207091" u="1"/>
        <s v="CYPSUP1207094" u="1"/>
        <s v="CYPSUP1207097" u="1"/>
        <s v="CYPSUP1207098" u="1"/>
        <s v="CYPSUP1207132" u="1"/>
        <s v="CYPSUP1207144" u="1"/>
        <s v="CYPSUP1207487" u="1"/>
        <s v="CYPSUP1207491" u="1"/>
        <s v="CYPSUP1207682" u="1"/>
        <s v="CYPSUP1208379" u="1"/>
        <s v="CYPSUP1208384" u="1"/>
        <s v="CYPSUP1208386" u="1"/>
        <s v="CYPSUP1208388" u="1"/>
        <s v="CYPSUP1208392" u="1"/>
        <s v="CYPSUP1208393" u="1"/>
        <s v="CYPSUP1208400" u="1"/>
        <s v="CYPSUP1208403" u="1"/>
        <s v="CYPSUP1208404" u="1"/>
        <s v="CYPSUP1209170" u="1"/>
        <s v="CYPSUP1209178" u="1"/>
        <s v="CYPSUP1209182" u="1"/>
        <s v="CYPSUP1209183" u="1"/>
        <s v="CYPSUP1209184" u="1"/>
        <s v="CYPSUP1209186" u="1"/>
        <s v="CYPSUP1209188" u="1"/>
        <s v="CYPSUP1209190" u="1"/>
        <s v="CYPSUP1209191" u="1"/>
        <s v="CYPSUP1209192" u="1"/>
        <s v="CYPSUP1209199" u="1"/>
        <s v="CYPSUP1209201" u="1"/>
        <s v="CYPSUP1209203" u="1"/>
        <s v="CYPSUP1209207" u="1"/>
        <s v="CYPSUP1209209" u="1"/>
        <s v="CYPSUP1209216" u="1"/>
        <s v="CYPSUP1209233" u="1"/>
        <s v="CYPSUP1209239" u="1"/>
        <s v="CYPSUP1209243" u="1"/>
        <s v="CYPSUP1209246" u="1"/>
        <s v="CYPSUP1209249" u="1"/>
        <s v="CYPSUP1209250" u="1"/>
        <s v="CYPSUP1209251" u="1"/>
        <s v="CYPSUP1209254" u="1"/>
        <s v="CYPSUP1209255" u="1"/>
        <s v="CYPSUP1209264" u="1"/>
        <s v="CYPSUP1209265" u="1"/>
        <s v="CYPSUP1209266" u="1"/>
        <s v="CYPSUP1209270" u="1"/>
        <s v="CYPSUP1209273" u="1"/>
        <s v="CYPSUP1209277" u="1"/>
        <s v="CYPSUP1209278" u="1"/>
        <s v="CYPSUP1209289" u="1"/>
        <s v="CYPSUP1209291" u="1"/>
        <s v="CYPSUP1209297" u="1"/>
        <s v="CYPSUP1209311" u="1"/>
        <s v="CYPSUP1209315" u="1"/>
        <s v="CYPSUP1209321" u="1"/>
        <s v="CYPSUP1209323" u="1"/>
        <s v="CYPSUP1209326" u="1"/>
        <s v="CYPSUP1209328" u="1"/>
        <s v="CYPSUP1209331" u="1"/>
        <s v="CYPSUP1209335" u="1"/>
        <s v="CYPSUP1209338" u="1"/>
        <s v="CYPSUP1209341" u="1"/>
        <s v="CYPSUP1209343" u="1"/>
        <s v="CYPSUP1209347" u="1"/>
        <s v="CYPSUP1209348" u="1"/>
        <s v="CYPSUP1209357" u="1"/>
        <s v="CYPSUP1209360" u="1"/>
        <s v="CYPSUP1209362" u="1"/>
        <s v="CYPSUP1209363" u="1"/>
        <s v="CYPSUP1209364" u="1"/>
        <s v="CYPSUP1209368" u="1"/>
        <s v="CYPSUP1209370" u="1"/>
        <s v="CYPSUP1209376" u="1"/>
        <s v="CYPSUP1209377" u="1"/>
        <s v="CYPSUP1209381" u="1"/>
        <s v="CYPSUP1209382" u="1"/>
        <s v="PAC1049658" u="1"/>
        <s v="PAC1049931" u="1"/>
        <s v="PAC1049935" u="1"/>
        <s v="PAC1049936" u="1"/>
        <s v="PAC1049994" u="1"/>
        <s v="PAC1050279" u="1"/>
        <s v="PAC1051189" u="1"/>
        <s v="PAC1051190" u="1"/>
        <s v="PAC1051191" u="1"/>
        <s v="PAC1052533" u="1"/>
        <s v="PAC1052548" u="1"/>
        <s v="PAC2334" u="1"/>
        <s v="PAC3276" u="1"/>
        <s v="PAC3281" u="1"/>
        <s v="PAC3350" u="1"/>
        <s v="PAC3428" u="1"/>
        <s v="PAC3467" u="1"/>
        <s v="PAC3471" u="1"/>
        <s v="PAC3487" u="1"/>
        <s v="PAC3643" u="1"/>
        <s v="PAC3668" u="1"/>
        <s v="PAC3703" u="1"/>
        <s v="PAC3807" u="1"/>
        <s v="PAC3848" u="1"/>
        <s v="PAC3860" u="1"/>
        <s v="PIPE1073001" u="1"/>
        <s v="PIPE1080109" u="1"/>
        <s v="PIPE1080115" u="1"/>
        <s v="PIPE1080116" u="1"/>
        <s v="PIPE1080126" u="1"/>
        <s v="PIPE1080132" u="1"/>
        <s v="PIPE1080136" u="1"/>
        <s v="PIPE1080137" u="1"/>
        <s v="PIPE1080142" u="1"/>
        <s v="PIPE1080152" u="1"/>
        <s v="PIPE1080155" u="1"/>
        <s v="PIPE1080164" u="1"/>
        <s v="PIPE1080165" u="1"/>
        <s v="PIPE1080169" u="1"/>
        <s v="PIPE1080172" u="1"/>
        <s v="PIPE1080181" u="1"/>
        <s v="PIPE1080185" u="1"/>
        <s v="PIPE1080187" u="1"/>
        <s v="PIPE1080197" u="1"/>
        <s v="PIPE1080201" u="1"/>
        <s v="PIPE1080203" u="1"/>
        <s v="PIPE1080204" u="1"/>
        <s v="PIPE1080217" u="1"/>
        <s v="PIPE1080219-1" u="1"/>
        <s v="PIPE1080219-2" u="1"/>
        <s v="PIPE1080219-4" u="1"/>
        <s v="PIPE1080220" u="1"/>
        <s v="PIPE1080221" u="1"/>
        <s v="PIPE1080225" u="1"/>
        <s v="PIPE1080226" u="1"/>
        <s v="PIPE1080228" u="1"/>
        <s v="PIPE1080230" u="1"/>
        <s v="PIPE1080234" u="1"/>
        <s v="PIPE1080239" u="1"/>
        <s v="PIPE1080241" u="1"/>
        <s v="PIPE1080245" u="1"/>
        <s v="PIPE1080248" u="1"/>
        <s v="PIPE1080249" u="1"/>
        <s v="PIPE1080251" u="1"/>
        <s v="PIPE1080252" u="1"/>
        <s v="PIPE1080253" u="1"/>
        <s v="PIPE1080254" u="1"/>
        <s v="PIPE1080260" u="1"/>
        <s v="PIPE1080264" u="1"/>
        <s v="PIPE1080268" u="1"/>
        <s v="PIPE1080269" u="1"/>
        <s v="PIPE1080273" u="1"/>
        <s v="PIPE1080274" u="1"/>
        <s v="PIPE1080275" u="1"/>
        <s v="PIPE1080277" u="1"/>
        <s v="PIPE1080278" u="1"/>
        <s v="PIPE1080281" u="1"/>
        <s v="PIPE1080282" u="1"/>
        <s v="PIPE1080283" u="1"/>
        <s v="PIPE1080284" u="1"/>
        <s v="PIPE1080288" u="1"/>
        <s v="PIPE1080292" u="1"/>
        <s v="PIPE1080293" u="1"/>
        <s v="PIPE1080295" u="1"/>
        <s v="PIPE1080304" u="1"/>
        <s v="PIPE1080308" u="1"/>
        <s v="PIPE1080310" u="1"/>
        <s v="PIPE1080311" u="1"/>
        <s v="PIPE1080313" u="1"/>
        <s v="PIPE1080315" u="1"/>
        <s v="PIPE1080317" u="1"/>
        <s v="PIPE1080320" u="1"/>
        <s v="PIPE1080323" u="1"/>
        <s v="PIPE1080329" u="1"/>
        <s v="PIPE1080330" u="1"/>
        <s v="PIPE1080331" u="1"/>
        <s v="PIPE1080332" u="1"/>
        <s v="PIPE1080337" u="1"/>
        <s v="PIPE1080338" u="1"/>
        <s v="PIPE1080339" u="1"/>
        <s v="PIPE1080340" u="1"/>
        <s v="PIPE1080341" u="1"/>
        <s v="PIPE1080344" u="1"/>
        <s v="PIPE1080345" u="1"/>
        <s v="PIPE1080349" u="1"/>
        <s v="PIPE1080355" u="1"/>
        <s v="PIPE1080358" u="1"/>
        <s v="PIPE1080359" u="1"/>
        <s v="PIPE1080361" u="1"/>
        <s v="PIPE1080364" u="1"/>
        <s v="PIPE1080365" u="1"/>
        <s v="PIPE1080366" u="1"/>
        <s v="PIPE1080371" u="1"/>
        <s v="PIPE1080372" u="1"/>
        <s v="PIPE1080374" u="1"/>
        <s v="PIPE1080379" u="1"/>
        <s v="PIPE1080380" u="1"/>
        <s v="PIPE1080381" u="1"/>
        <s v="PIPE1080384" u="1"/>
        <s v="PIPE1080387" u="1"/>
        <s v="PIPE1080388" u="1"/>
        <s v="PIPE1080390" u="1"/>
        <s v="PIPE1080391" u="1"/>
        <s v="PIPE1080395" u="1"/>
        <s v="PIPE1080397" u="1"/>
        <s v="PIPE1080398" u="1"/>
        <s v="PIPE1080402" u="1"/>
        <s v="PIPE1080404" u="1"/>
        <s v="PIPE1080406" u="1"/>
        <s v="PIPE1080407" u="1"/>
        <s v="PIPE1080408" u="1"/>
        <s v="PIPE1080410" u="1"/>
        <s v="PIPE1080411" u="1"/>
        <s v="PIPE1080423" u="1"/>
        <s v="PIPE1080424" u="1"/>
        <s v="PIPE1080425" u="1"/>
        <s v="PIPE1080427" u="1"/>
        <s v="PIPE1080428" u="1"/>
        <s v="PIPE1080433" u="1"/>
        <s v="PIPE1080437" u="1"/>
        <s v="PIPE1080453" u="1"/>
        <s v="PIPE1080454" u="1"/>
        <s v="PIPE1080458" u="1"/>
        <s v="PIPE1080461" u="1"/>
        <s v="PIPE1080462" u="1"/>
        <s v="PIPE1080463" u="1"/>
        <s v="PIPE1080464" u="1"/>
        <s v="PIPE1080472" u="1"/>
        <s v="PIPE1080475" u="1"/>
        <s v="PIPE1080478" u="1"/>
        <s v="PIPE1080481" u="1"/>
        <s v="PIPE1080482" u="1"/>
        <s v="PIPE1080484" u="1"/>
        <s v="PIPE1080491" u="1"/>
        <s v="PIPE1080492" u="1"/>
        <s v="PIPE1080497" u="1"/>
        <s v="PIPE1080500" u="1"/>
        <s v="PIPE1080504" u="1"/>
        <s v="PIPE1080506" u="1"/>
        <s v="PIPE1080508" u="1"/>
        <s v="PIPE1080518" u="1"/>
        <s v="PIPE1080520" u="1"/>
        <s v="PIPE1080521" u="1"/>
        <s v="PIPE1080524" u="1"/>
        <s v="PIPE1080528" u="1"/>
        <s v="PIPE1080532" u="1"/>
        <s v="PIPE1080548" u="1"/>
        <s v="PIPE1080551" u="1"/>
        <s v="PIPE1080552" u="1"/>
        <s v="PIPE1080555" u="1"/>
        <s v="PIPE1080556" u="1"/>
        <s v="PIPE1080557" u="1"/>
        <s v="PIPE1080558" u="1"/>
        <s v="PIPE1080559" u="1"/>
        <s v="PIPE1200251" u="1"/>
        <s v="PIPE1200259" u="1"/>
        <s v="PIPE1200304" u="1"/>
        <s v="PIPE1200324" u="1"/>
        <s v="PIPE1200326" u="1"/>
        <s v="PIPE1200328" u="1"/>
        <s v="PIPE1200334" u="1"/>
        <s v="PIPE1200335" u="1"/>
        <s v="PIPE1200343" u="1"/>
        <s v="PIPE1200346" u="1"/>
        <s v="PIPE1200349" u="1"/>
        <s v="PIPE1200381" u="1"/>
        <s v="PIPE1200386" u="1"/>
        <s v="PIPE1200387" u="1"/>
        <s v="PIPE1200434" u="1"/>
        <s v="PIPE1200436" u="1"/>
        <s v="PIPE1200444" u="1"/>
        <s v="PIPE1200445" u="1"/>
        <s v="PIPE1200458" u="1"/>
        <s v="PIPE1200472" u="1"/>
        <s v="PIPE1200474" u="1"/>
        <s v="PIPE1200480" u="1"/>
        <s v="PIPE1200482" u="1"/>
        <s v="PIPE1200518" u="1"/>
        <s v="PIPE1200519" u="1"/>
        <s v="PIPE1200520" u="1"/>
        <s v="PIPE1200522" u="1"/>
        <s v="PIPE1200524" u="1"/>
        <s v="PIPE1200569" u="1"/>
        <s v="PIPE1200570" u="1"/>
        <s v="PIPE1200577" u="1"/>
        <s v="PIPE1200583" u="1"/>
        <s v="PIPE1200590" u="1"/>
        <s v="PIPE1200612" u="1"/>
        <s v="PIPE1200614" u="1"/>
        <s v="PIPE1200622" u="1"/>
        <s v="PIPE1200642" u="1"/>
        <s v="PIPE1200643" u="1"/>
        <s v="PIPE1200644" u="1"/>
        <s v="PIPE1200656" u="1"/>
        <s v="PIPE1200663" u="1"/>
        <s v="PIPE1200665" u="1"/>
        <s v="PIPE1200667" u="1"/>
        <s v="PIPE1200683" u="1"/>
        <s v="PIPE1200800" u="1"/>
        <s v="PIPE1200806" u="1"/>
        <s v="PIPE1200829" u="1"/>
        <s v="PIPE1200832" u="1"/>
        <s v="PIPE1200836" u="1"/>
        <s v="PIPE1200840" u="1"/>
        <s v="PIPE1200848" u="1"/>
        <s v="PIPE1200850" u="1"/>
        <s v="PIPE1200852" u="1"/>
        <s v="PIPE1200861" u="1"/>
        <s v="PIPE1200863" u="1"/>
        <s v="PIPE1200869" u="1"/>
        <s v="PIPE1200878" u="1"/>
        <s v="PIPE1200882" u="1"/>
        <s v="PIPE1200902" u="1"/>
        <s v="PIPE1200904" u="1"/>
        <s v="PIPE1200906" u="1"/>
        <s v="PIPE1200908" u="1"/>
        <s v="PIPE1200910" u="1"/>
        <s v="PIPE1200912" u="1"/>
        <s v="PIPE1200926" u="1"/>
        <s v="PIPE1200936" u="1"/>
        <s v="PIPE1201001" u="1"/>
        <s v="PIPE1201018" u="1"/>
        <s v="PIPE1201024" u="1"/>
        <s v="PIPE1202003" u="1"/>
        <s v="PIPE1202008" u="1"/>
        <s v="PIPE1202011" u="1"/>
        <s v="PIPE1202015" u="1"/>
        <s v="PIPE1202017" u="1"/>
        <s v="PIPE1202019" u="1"/>
        <s v="PIPE1202022" u="1"/>
        <s v="PIPE1202029" u="1"/>
        <s v="PIPE1202030" u="1"/>
        <s v="PIPE1202037" u="1"/>
        <s v="PIPE1202038" u="1"/>
        <s v="PIPE1202041" u="1"/>
        <s v="PIPE1202042" u="1"/>
        <s v="PIPE1202043" u="1"/>
        <s v="PIPE1202045" u="1"/>
        <s v="PIPE1202047" u="1"/>
        <s v="PIPE1202049" u="1"/>
        <s v="PIPE1202053" u="1"/>
        <s v="PIPE1202057" u="1"/>
        <s v="PIPE1202066" u="1"/>
        <s v="PIPE1202073" u="1"/>
        <s v="PIPE1202079" u="1"/>
        <s v="PIPE1202082" u="1"/>
        <s v="PIPE1202087" u="1"/>
        <s v="PIPE1202090" u="1"/>
        <s v="PIPE1202091" u="1"/>
        <s v="PIPE1202093" u="1"/>
        <s v="PIPE1202095" u="1"/>
        <s v="PIPE1202097" u="1"/>
        <s v="PIPE1202111" u="1"/>
        <s v="PIPE1202115" u="1"/>
        <s v="PIPE1202116" u="1"/>
        <s v="PIPE1202119" u="1"/>
        <s v="PIPE1202126" u="1"/>
        <s v="PIPE1202127" u="1"/>
        <s v="PIPE1202130" u="1"/>
        <s v="PIPE1202134" u="1"/>
        <s v="PIPE1202191" u="1"/>
        <s v="PIPE1202215" u="1"/>
        <s v="PIPE1202218" u="1"/>
        <s v="PIPE1203156" u="1"/>
        <s v="PIPE1203408" u="1"/>
        <s v="PIPE1203409" u="1"/>
        <s v="PIPE1203415" u="1"/>
        <s v="PIPE1203418" u="1"/>
        <s v="PIPE1203419" u="1"/>
        <s v="PIPE1203420" u="1"/>
        <s v="PIPE1203427" u="1"/>
        <s v="PIPE1203428" u="1"/>
        <s v="PIPE1203430" u="1"/>
        <s v="PIPE1203433" u="1"/>
        <s v="PIPE1203436" u="1"/>
        <s v="PIPE1203442" u="1"/>
        <s v="PIPE1203443" u="1"/>
        <s v="PIPE1203445" u="1"/>
        <s v="PIPE1203447" u="1"/>
        <s v="PIPE1203450" u="1"/>
        <s v="PIPE1203451" u="1"/>
        <s v="PIPE1203452" u="1"/>
        <s v="PIPE1203455" u="1"/>
        <s v="PIPE1203457" u="1"/>
        <s v="PIPE1203462" u="1"/>
        <s v="PIPE1203463" u="1"/>
        <s v="PIPE1203464" u="1"/>
        <s v="PIPE1203466" u="1"/>
        <s v="PIPE1203468" u="1"/>
        <s v="PIPE1203471" u="1"/>
        <s v="PIPE1203473" u="1"/>
        <s v="PIPE1203476" u="1"/>
        <s v="PIPE1203479" u="1"/>
        <s v="PIPE1203485" u="1"/>
        <s v="PIPE1203487" u="1"/>
        <s v="PIPE1203490" u="1"/>
        <s v="PIPE1203491" u="1"/>
        <s v="PIPE1203492" u="1"/>
        <s v="PIPE1203495" u="1"/>
        <s v="PIPE1203498" u="1"/>
        <s v="PIPE1203499" u="1"/>
        <s v="PIPE1203500" u="1"/>
        <s v="PIPE1203562" u="1"/>
        <s v="PIPE1203992" u="1"/>
        <s v="PIPE1203993" u="1"/>
        <s v="PIPE1204016" u="1"/>
        <s v="PIPE1204023" u="1"/>
        <s v="PIPE1204024" u="1"/>
        <s v="PIPE1204032" u="1"/>
        <s v="PIPE1204034" u="1"/>
        <s v="PIPE1204035" u="1"/>
        <s v="PIPE1204037" u="1"/>
        <s v="PIPE1204038" u="1"/>
        <s v="PIPE1204039" u="1"/>
        <s v="PIPE1204040" u="1"/>
        <s v="PIPE1204042" u="1"/>
        <s v="PIPE1204056" u="1"/>
        <s v="PIPE1204057" u="1"/>
        <s v="PIPE1204060" u="1"/>
        <s v="PIPE1204062" u="1"/>
        <s v="PIPE1204064" u="1"/>
        <s v="PIPE1204067" u="1"/>
        <s v="PIPE1204083" u="1"/>
        <s v="PIPE1204084" u="1"/>
        <s v="PIPE1204091" u="1"/>
        <s v="PIPE1204094" u="1"/>
        <s v="PIPE1204108" u="1"/>
        <s v="PIPE1204154" u="1"/>
        <s v="PIPE1204161" u="1"/>
        <s v="PIPE1204164" u="1"/>
        <s v="PIPE1204188" u="1"/>
        <s v="PIPE1204198" u="1"/>
        <s v="PIPE1204208" u="1"/>
        <s v="PIPE1204209" u="1"/>
        <s v="PIPE1204210" u="1"/>
        <s v="PIPE1204220" u="1"/>
        <s v="PIPE1204224" u="1"/>
        <s v="PIPE1204226" u="1"/>
        <s v="PIPE1204227" u="1"/>
        <s v="PIPE1204235" u="1"/>
        <s v="PIPE1204236" u="1"/>
        <s v="PIPE1204241" u="1"/>
        <s v="PIPE1204242" u="1"/>
        <s v="PIPE1204286" u="1"/>
        <s v="PIPE1204287" u="1"/>
        <s v="PIPE1204288" u="1"/>
        <s v="PIPE1204289" u="1"/>
        <s v="PIPE1204291" u="1"/>
        <s v="PIPE1204305" u="1"/>
        <s v="PIPE1204307" u="1"/>
        <s v="PIPE1204308" u="1"/>
        <s v="PIPE1204316" u="1"/>
        <s v="PIPE1204320" u="1"/>
        <s v="PIPE1204321" u="1"/>
        <s v="PIPE1204350" u="1"/>
        <s v="PIPE1204363" u="1"/>
        <s v="PIPE1204364" u="1"/>
        <s v="PIPE1204373" u="1"/>
        <s v="PIPE1204377" u="1"/>
        <s v="PIPE1204430" u="1"/>
        <s v="PIPE1204435" u="1"/>
        <s v="PIPE1204623" u="1"/>
        <s v="PIPE1204645" u="1"/>
        <s v="PIPE1204654" u="1"/>
        <s v="PIPE1204656" u="1"/>
        <s v="PIPE1204658" u="1"/>
        <s v="PIPE1204659" u="1"/>
        <s v="PIPE1204662" u="1"/>
        <s v="PIPE1205105" u="1"/>
        <s v="PIPE1205107" u="1"/>
        <s v="PIPE1205115" u="1"/>
        <s v="PIPE1205119" u="1"/>
        <s v="PIPE1205127" u="1"/>
        <s v="PIPE1205129" u="1"/>
        <s v="PIPE1205130" u="1"/>
        <s v="PIPE1205131" u="1"/>
        <s v="PIPE1205136" u="1"/>
        <s v="PIPE1205137" u="1"/>
        <s v="PIPE1206926" u="1"/>
        <s v="PIPE1206935" u="1"/>
        <s v="PIPE1207323" u="1"/>
        <s v="PIPE1207326" u="1"/>
        <s v="PIPE1207327" u="1"/>
        <s v="PIPE1207330" u="1"/>
        <s v="PIPE1207331" u="1"/>
        <s v="PIPE1207335" u="1"/>
        <s v="PIPE1207336" u="1"/>
        <s v="PIPE1207338" u="1"/>
        <s v="PIPE1207344" u="1"/>
        <s v="PIPE1207347" u="1"/>
        <s v="PIPE1207348" u="1"/>
        <s v="PIPE1207354" u="1"/>
        <s v="PIPE1207356" u="1"/>
        <s v="PIPE1207358" u="1"/>
        <s v="PIPE1207359" u="1"/>
        <s v="PIPE1207392" u="1"/>
        <s v="PIPE1207393" u="1"/>
        <s v="PIPE1207394" u="1"/>
        <s v="PIPE1207398" u="1"/>
        <s v="PIPE1207400" u="1"/>
        <s v="PIPE1207401" u="1"/>
        <s v="PIPE1207402" u="1"/>
        <s v="PIPE1207403" u="1"/>
        <s v="PIPE1207404" u="1"/>
        <s v="PIPE1207405" u="1"/>
        <s v="PIPE1207406" u="1"/>
        <s v="PIPE1207407" u="1"/>
        <s v="PIPE1207412" u="1"/>
        <s v="PIPE1207417" u="1"/>
        <s v="PIPE1207418" u="1"/>
        <s v="PIPE1207419" u="1"/>
        <s v="PIPE1207422" u="1"/>
        <s v="PIPE1207424" u="1"/>
        <s v="PIPE1207425" u="1"/>
        <s v="PIPE1207426" u="1"/>
        <s v="PIPE1207429" u="1"/>
        <s v="PIPE1208338" u="1"/>
        <s v="PIPE1208339" u="1"/>
        <s v="PIPE1208425" u="1"/>
        <s v="PIPE1208427" u="1"/>
        <s v="PIPE1208429" u="1"/>
        <s v="PIPE1208597" u="1"/>
        <s v="PIPE1208599" u="1"/>
        <s v="PIPE1208601" u="1"/>
        <s v="PIPE1209151" u="1"/>
        <s v="PIPE1209161" u="1"/>
        <s v="PIPE1209162" u="1"/>
        <s v="PIPE1209169" u="1"/>
        <s v="PIPE1209870" u="1"/>
        <s v="PIPE1209871" u="1"/>
        <s v="PIPE1209876" u="1"/>
        <s v="PIPE1209878" u="1"/>
        <s v="PIPE1209880" u="1"/>
        <s v="PIPE1209881" u="1"/>
        <s v="PIPE1209884" u="1"/>
        <s v="PIPE1209885" u="1"/>
        <s v="PIPE1209886" u="1"/>
        <s v="PIPE1209888" u="1"/>
        <s v="PIPE1209890" u="1"/>
        <s v="PIPE1209891" u="1"/>
        <s v="PIPE1209893" u="1"/>
        <s v="PIPE1209896" u="1"/>
        <s v="PIPE1209903" u="1"/>
        <s v="PIPE1209913" u="1"/>
        <s v="PIPE1209915" u="1"/>
        <s v="PIPE1209921" u="1"/>
        <s v="PIPE1209923" u="1"/>
        <s v="PIPE1209924" u="1"/>
        <s v="PIPE1209925" u="1"/>
        <s v="PIPE1209934" u="1"/>
        <s v="PIPE1209937" u="1"/>
        <s v="PIPE1209941" u="1"/>
        <s v="PIPE1209942" u="1"/>
        <s v="PIPE1209949" u="1"/>
        <s v="PIPE1209950" u="1"/>
        <s v="PIPE1209952" u="1"/>
        <s v="PIPE1209953" u="1"/>
        <s v="PIPE1209954" u="1"/>
        <s v="PIPE1209956" u="1"/>
        <s v="PIPE1209959" u="1"/>
        <s v="PIPE1209960" u="1"/>
        <s v="PIPE1209962" u="1"/>
        <s v="PIPE1209967" u="1"/>
        <s v="PIPE1209970" u="1"/>
        <s v="PIPE1209972" u="1"/>
        <s v="PIPE1209973" u="1"/>
        <s v="PIPE1209976" u="1"/>
        <s v="PIPE1209980" u="1"/>
        <s v="PIPE1209982" u="1"/>
        <s v="PIPE1209987" u="1"/>
        <s v="PIPE1209990" u="1"/>
        <s v="PIPE1209996" u="1"/>
        <s v="PIPE1209997" u="1"/>
        <s v="PIPE1209999" u="1"/>
        <s v="PIPE1210003" u="1"/>
        <s v="PIPE1210005" u="1"/>
        <s v="PIPE1210007" u="1"/>
        <s v="PIPE1210008" u="1"/>
        <s v="PIPE1210010" u="1"/>
        <s v="PIPE1210013" u="1"/>
        <s v="PIPE1210014" u="1"/>
        <s v="PIPE1210015" u="1"/>
        <s v="PIPE1210016" u="1"/>
        <s v="PIPE1210017" u="1"/>
        <s v="PIPE1210025" u="1"/>
        <s v="PIPE1210026" u="1"/>
        <s v="PIPE1210030" u="1"/>
        <s v="PIPE1210031" u="1"/>
        <s v="PIPE1210032" u="1"/>
        <s v="PIPE1210033" u="1"/>
        <s v="PIPE1210040" u="1"/>
        <s v="PIPE1210041" u="1"/>
        <s v="PIPE1210042" u="1"/>
        <s v="PIPE1210189" u="1"/>
        <s v="SA12130051" u="1"/>
        <s v="SA12130697" u="1"/>
        <s v="SA12131170" u="1"/>
        <s v="SA12131220" u="1"/>
        <s v="SA12131221" u="1"/>
        <s v="SA12131253" u="1"/>
        <s v="SA12131258" u="1"/>
        <s v="SA12131259" u="1"/>
        <s v="SITES1063322" u="1"/>
        <s v="SITES1063325" u="1"/>
        <s v="SITES1063326" u="1"/>
        <s v="SITES1063328" u="1"/>
        <s v="SITES1063331" u="1"/>
        <s v="SITES1063333" u="1"/>
        <s v="SITES1063335" u="1"/>
        <s v="SITES1063336" u="1"/>
        <s v="SITES1063342" u="1"/>
        <s v="SITES1063451" u="1"/>
        <s v="SITES1063454" u="1"/>
        <s v="SITES1063471" u="1"/>
        <s v="SITES1063494" u="1"/>
        <s v="SITES1063507" u="1"/>
        <s v="SITES1063510" u="1"/>
        <s v="SITES1063511" u="1"/>
        <s v="SITES1063512" u="1"/>
        <s v="SITES1063513" u="1"/>
        <s v="SITES1063528" u="1"/>
        <s v="SITES1063536" u="1"/>
        <s v="SITES1063538" u="1"/>
        <s v="SITES1063572" u="1"/>
        <s v="SITES1063573" u="1"/>
        <s v="SITES1063575" u="1"/>
        <s v="SITES1063579" u="1"/>
        <s v="SITES1063580" u="1"/>
        <s v="SITES1063584" u="1"/>
        <s v="SITES1063588" u="1"/>
        <s v="SITES1063594" u="1"/>
        <s v="SITES1063595" u="1"/>
        <s v="SITES1063597" u="1"/>
        <s v="SITES1063598" u="1"/>
        <s v="SITES1063602" u="1"/>
        <s v="SITES1063607" u="1"/>
        <s v="SITES1063615" u="1"/>
        <s v="SITES1063617" u="1"/>
        <s v="SITES1063619" u="1"/>
        <s v="SITES1063623" u="1"/>
        <s v="SITES1063625" u="1"/>
        <s v="SITES1063627" u="1"/>
        <s v="SITES1063628" u="1"/>
        <s v="SITES1063632" u="1"/>
        <s v="SITES1063634" u="1"/>
        <s v="SITES1063636" u="1"/>
        <s v="SITES1063641" u="1"/>
        <s v="SITES1063650" u="1"/>
        <s v="SITES1063654" u="1"/>
        <s v="SITES1063661" u="1"/>
        <s v="SITES1063665" u="1"/>
        <s v="SITES1063666" u="1"/>
        <s v="SITES1063669" u="1"/>
        <s v="SITES1063675" u="1"/>
        <s v="SITES1063678" u="1"/>
        <s v="SITES1063685" u="1"/>
        <s v="SITES1063688" u="1"/>
        <s v="SITES1063689" u="1"/>
        <s v="SITES1063697" u="1"/>
        <s v="SITES1063700" u="1"/>
        <s v="SITES1063704" u="1"/>
        <s v="SITES1063710" u="1"/>
        <s v="SITES1063712" u="1"/>
        <s v="SITES1063725" u="1"/>
        <s v="SITES1063727" u="1"/>
        <s v="SITES1063730" u="1"/>
        <s v="SITES1063749" u="1"/>
        <s v="SITES1063751" u="1"/>
        <s v="SITES1063757" u="1"/>
        <s v="SITES1063758" u="1"/>
        <s v="SITES1063772" u="1"/>
        <s v="SITES1063776" u="1"/>
        <s v="SITES1063792" u="1"/>
        <s v="SITES1063811" u="1"/>
        <s v="SITES1063834" u="1"/>
        <s v="SITES1063896" u="1"/>
        <s v="SITES1073039" u="1"/>
        <s v="SITES1073048" u="1"/>
        <s v="SITES1073049" u="1"/>
        <s v="SITES1073058" u="1"/>
        <s v="SITES1073059" u="1"/>
        <s v="SITES1073060" u="1"/>
        <s v="SITES1073086" u="1"/>
        <s v="SITES1073087" u="1"/>
        <s v="SITES1073090" u="1"/>
        <s v="SITES1073094" u="1"/>
        <s v="SITES1073096" u="1"/>
        <s v="SITES1073103" u="1"/>
        <s v="SITES1073105" u="1"/>
        <s v="SITES1073110" u="1"/>
        <s v="SITES1073112" u="1"/>
        <s v="SITES1073113" u="1"/>
        <s v="SITES1073121" u="1"/>
        <s v="SITES1073123" u="1"/>
        <s v="SITES1073127" u="1"/>
        <s v="SITES1073141" u="1"/>
        <s v="SITES1073145" u="1"/>
        <s v="SITES1073147" u="1"/>
        <s v="SITES1073148" u="1"/>
        <s v="SITES1073150" u="1"/>
        <s v="SITES1073155" u="1"/>
        <s v="SITES1073408" u="1"/>
        <s v="SITES1073409" u="1"/>
        <s v="SITES1073415" u="1"/>
        <s v="SITES1073416" u="1"/>
        <s v="SITES1073423" u="1"/>
        <s v="SITES1073424" u="1"/>
        <s v="SITES1073427" u="1"/>
        <s v="SITES1073437" u="1"/>
        <s v="SITES1073438" u="1"/>
        <s v="SITES1073442" u="1"/>
        <s v="SITES1073444" u="1"/>
        <s v="SITES1073448" u="1"/>
        <s v="SITES1073451" u="1"/>
        <s v="SITES1073454" u="1"/>
        <s v="SITES1073502" u="1"/>
        <s v="SITES1073503" u="1"/>
        <s v="SITES1073508" u="1"/>
        <s v="SITES1073510" u="1"/>
        <s v="SITES1073519" u="1"/>
        <s v="SITES1073524" u="1"/>
        <s v="SITES1073534" u="1"/>
        <s v="SITES1073539" u="1"/>
        <s v="SITES1073541" u="1"/>
        <s v="SITES1073543" u="1"/>
        <s v="SITES1073549" u="1"/>
        <s v="SITES1073553" u="1"/>
        <s v="SITES1073554" u="1"/>
        <s v="SITES1073578" u="1"/>
        <s v="SITES1073584" u="1"/>
        <s v="SITES1073614" u="1"/>
        <s v="SITES1073616" u="1"/>
        <s v="SITES1073623" u="1"/>
        <s v="SITES1073624" u="1"/>
        <s v="SITES1073626" u="1"/>
        <s v="SITES1073627" u="1"/>
        <s v="SITES1073630" u="1"/>
        <s v="SITES1073633" u="1"/>
        <s v="SITES1073638" u="1"/>
        <s v="SITES1073639" u="1"/>
        <s v="SITES1073640" u="1"/>
        <s v="SITES1073643" u="1"/>
        <s v="SITES1073659" u="1"/>
        <s v="SITES1073661" u="1"/>
        <s v="SITES1073667" u="1"/>
        <s v="SITES1073676" u="1"/>
        <s v="SITES1073677" u="1"/>
        <s v="SITES1073681" u="1"/>
        <s v="SITES1073688" u="1"/>
        <s v="SITES1073696" u="1"/>
        <s v="SITES1073697" u="1"/>
        <s v="SITES1073698" u="1"/>
        <s v="SITES1073703" u="1"/>
        <s v="SITES1073705" u="1"/>
        <s v="SITES1073706" u="1"/>
        <s v="SITES1073707" u="1"/>
        <s v="SITES1073711" u="1"/>
        <s v="SITES1073718" u="1"/>
        <s v="SITES1073728" u="1"/>
        <s v="SITES1073731" u="1"/>
        <s v="SITES1073732" u="1"/>
        <s v="SITES1073733" u="1"/>
        <s v="SITES1073735" u="1"/>
        <s v="SITES1073737" u="1"/>
        <s v="SITES1073750" u="1"/>
        <s v="SITES1073814" u="1"/>
        <s v="SITES1073819" u="1"/>
        <s v="SITES1073822" u="1"/>
        <s v="SITES1073863" u="1"/>
        <s v="SITES1073864" u="1"/>
        <s v="SITES1073865" u="1"/>
        <s v="SITES1073866" u="1"/>
        <s v="SITES1073872" u="1"/>
        <s v="SITES1073873" u="1"/>
        <s v="SITES1073874" u="1"/>
        <s v="SITES1073880" u="1"/>
        <s v="SITES1073881" u="1"/>
        <s v="SITES1073883" u="1"/>
        <s v="SITES1073898" u="1"/>
        <s v="SITES1073899" u="1"/>
        <s v="SITES1073903" u="1"/>
        <s v="SITES1073905" u="1"/>
        <s v="SITES1073906" u="1"/>
        <s v="SITES1073908" u="1"/>
        <s v="SITES1073925" u="1"/>
        <s v="SITES1073927" u="1"/>
        <s v="SITES1073942" u="1"/>
        <s v="SITES1073950" u="1"/>
        <s v="SITES1074405" u="1"/>
        <s v="SITES1074406" u="1"/>
        <s v="SITES1074410" u="1"/>
        <s v="SITES1074411" u="1"/>
        <s v="SITES1074415" u="1"/>
        <s v="SITES1074419" u="1"/>
        <s v="SITES1074423" u="1"/>
        <s v="SITES1074429" u="1"/>
        <s v="SITES1074431" u="1"/>
        <s v="SITES1074433" u="1"/>
        <s v="SITES1074446" u="1"/>
        <s v="SITES1074448" u="1"/>
        <s v="SITES1074451" u="1"/>
        <s v="SITES1074456" u="1"/>
        <s v="SITES1074458" u="1"/>
        <s v="SITES1074460" u="1"/>
        <s v="SITES1074467" u="1"/>
        <s v="SITES1074468" u="1"/>
        <s v="SITES1074482" u="1"/>
        <s v="SITES1074483" u="1"/>
        <s v="SITES1074538" u="1"/>
        <s v="SITES1074546" u="1"/>
        <s v="SITES1074547" u="1"/>
        <s v="SITES1074548" u="1"/>
        <s v="SITES1074554" u="1"/>
        <s v="SITES1074555" u="1"/>
        <s v="SITES1074738" u="1"/>
        <s v="SITES1074741" u="1"/>
        <s v="SITES1074747" u="1"/>
        <s v="SITES1074749" u="1"/>
        <s v="SITES1074754" u="1"/>
        <s v="SITES1074764" u="1"/>
        <s v="SITES1074778" u="1"/>
        <s v="SITES1074779" u="1"/>
        <s v="SITES1074782" u="1"/>
        <s v="SITES1074785" u="1"/>
        <s v="SITES1074789" u="1"/>
        <s v="SITES1074794" u="1"/>
        <s v="SITES1074802" u="1"/>
        <s v="SITES1074820" u="1"/>
        <s v="SITES1074933" u="1"/>
        <s v="SITES1074935" u="1"/>
        <s v="SITES1075010" u="1"/>
        <s v="SITES1080022" u="1"/>
        <s v="SITES1080048" u="1"/>
        <s v="SITES1080067" u="1"/>
        <s v="SITES1080092" u="1"/>
        <s v="SITES1080098" u="1"/>
        <s v="SITES1080100" u="1"/>
        <s v="SITES1080105" u="1"/>
        <s v="SITES1080106" u="1"/>
        <s v="SITES1080111" u="1"/>
        <s v="SITES1080112" u="1"/>
        <s v="SITES1080120" u="1"/>
        <s v="SITES1080127" u="1"/>
        <s v="SITES1080131" u="1"/>
        <s v="SITES1080138" u="1"/>
        <s v="SITES1080142" u="1"/>
        <s v="SITES1080143" u="1"/>
        <s v="SITES1080144" u="1"/>
        <s v="SITES1080146" u="1"/>
        <s v="SITES1080147" u="1"/>
        <s v="SITES1080156" u="1"/>
        <s v="SITES1080160" u="1"/>
        <s v="SITES1080161" u="1"/>
        <s v="SITES1080162" u="1"/>
        <s v="SITES1080165" u="1"/>
        <s v="SITES1080183" u="1"/>
        <s v="SITES1080185" u="1"/>
        <s v="SITES1080187" u="1"/>
        <s v="SITES1080192" u="1"/>
        <s v="SITES1080194" u="1"/>
        <s v="SITES1080195" u="1"/>
        <s v="SITES1080197" u="1"/>
        <s v="SITES1080199" u="1"/>
        <s v="SITES1080201" u="1"/>
        <s v="SITES1080203" u="1"/>
        <s v="SITES1080208" u="1"/>
        <s v="SITES1080210" u="1"/>
        <s v="SITES1080213" u="1"/>
        <s v="SITES1080220" u="1"/>
        <s v="SITES1080221" u="1"/>
        <s v="SITES1080222" u="1"/>
        <s v="SITES1100100" u="1"/>
        <s v="SITES1100106" u="1"/>
        <s v="SITES1100107" u="1"/>
        <s v="SITES1100108" u="1"/>
        <s v="SITES1100137" u="1"/>
        <s v="SITES1100156" u="1"/>
        <s v="SITES1100221" u="1"/>
        <s v="SITES1100232" u="1"/>
        <s v="SITES1100271" u="1"/>
        <s v="SITES1100298" u="1"/>
        <s v="SITES1100317" u="1"/>
        <s v="SITES1100345" u="1"/>
        <s v="SITES1100370" u="1"/>
        <s v="SITES1100406" u="1"/>
        <s v="SITES1100407" u="1"/>
        <s v="SITES1100415" u="1"/>
        <s v="SITES1100472" u="1"/>
        <s v="SITES1100479" u="1"/>
        <s v="SITES1100572" u="1"/>
        <s v="SITES1100646" u="1"/>
        <s v="SITES1100694" u="1"/>
        <s v="SITES1100728" u="1"/>
        <s v="SITES1100764" u="1"/>
        <s v="SITES1110005" u="1"/>
        <s v="SITES1110010" u="1"/>
        <s v="SITES1110050" u="1"/>
        <s v="SITES1110052" u="1"/>
        <s v="SITES1110070" u="1"/>
        <s v="SITES1110071" u="1"/>
        <s v="SITES1110073" u="1"/>
        <s v="SITES1110076" u="1"/>
        <s v="SITES1110078" u="1"/>
        <s v="SITES1110079" u="1"/>
        <s v="SITES1110080" u="1"/>
        <s v="SITES1110081" u="1"/>
        <s v="SITES1110082" u="1"/>
        <s v="SITES1110094" u="1"/>
        <s v="SITES1110096" u="1"/>
        <s v="SITES1110097" u="1"/>
        <s v="SITES1110101" u="1"/>
        <s v="SITES1110102" u="1"/>
        <s v="SITES1110105" u="1"/>
        <s v="SITES1110107" u="1"/>
        <s v="SITES1110116" u="1"/>
        <s v="SITES1110118" u="1"/>
        <s v="SITES1110119" u="1"/>
        <s v="SITES1110124" u="1"/>
        <s v="SITES1110125" u="1"/>
        <s v="SITES1110520" u="1"/>
        <s v="SITES1110621" u="1"/>
        <s v="SITES1110622" u="1"/>
        <s v="SITES1110623" u="1"/>
        <s v="SITES1110629" u="1"/>
        <s v="SITES1110961" u="1"/>
        <s v="SITES1110966" u="1"/>
        <s v="SITES1110967" u="1"/>
        <s v="SITES1110969" u="1"/>
        <s v="SITES1110975" u="1"/>
        <s v="SITES1110978" u="1"/>
        <s v="SITES1110981" u="1"/>
        <s v="SITES1110982" u="1"/>
        <s v="SITES1110983" u="1"/>
        <s v="SITES1110984" u="1"/>
        <s v="SITES1110994" u="1"/>
        <s v="SITES1111004" u="1"/>
        <s v="SITES1111006" u="1"/>
        <s v="SITES1111010" u="1"/>
        <s v="SITES1111011" u="1"/>
        <s v="SITES1111012" u="1"/>
        <s v="SITES1111014" u="1"/>
        <s v="SITES1111134" u="1"/>
        <s v="SITES1111148" u="1"/>
        <s v="SITES1111149" u="1"/>
        <s v="SITES1111293" u="1"/>
        <s v="SITES1111364" u="1"/>
        <s v="SITES1111371" u="1"/>
        <s v="SITES1111409" u="1"/>
        <s v="SITES1111441" u="1"/>
        <s v="SITES1111442" u="1"/>
        <s v="SITES1111444" u="1"/>
        <s v="SITES1111449" u="1"/>
        <s v="SITES1111469" u="1"/>
        <s v="SITES1111484" u="1"/>
        <s v="SITES1111497" u="1"/>
        <s v="SITES1111514" u="1"/>
        <s v="SITES1203406" u="1"/>
        <s v="SITES1203416" u="1"/>
        <s v="SITES1203417" u="1"/>
        <s v="SITES1203419" u="1"/>
        <s v="SITES1203421" u="1"/>
        <s v="SITES1203429" u="1"/>
        <s v="SITES1203432" u="1"/>
        <s v="SITES1203442" u="1"/>
        <s v="SITES1203450" u="1"/>
        <s v="SITES1203457" u="1"/>
        <s v="SITES1203467" u="1"/>
        <s v="SITES1203473" u="1"/>
        <s v="SITES1203475" u="1"/>
        <s v="SITES1203481" u="1"/>
        <s v="SITES1203482" u="1"/>
        <s v="SITES1203492" u="1"/>
        <s v="SITES1203494" u="1"/>
        <s v="SITES1203497" u="1"/>
        <s v="SITES1203505" u="1"/>
        <s v="SITES1203530" u="1"/>
        <s v="SITES1203531" u="1"/>
        <s v="SITES1203534" u="1"/>
        <s v="SITES1203538" u="1"/>
        <s v="SITES1203539" u="1"/>
        <s v="SITES1203542" u="1"/>
        <s v="SITES1203546" u="1"/>
        <s v="SITES1203551" u="1"/>
        <s v="SITES1203554" u="1"/>
        <s v="SITES1203555" u="1"/>
        <s v="SITES1203561" u="1"/>
        <s v="SITES1203563" u="1"/>
        <s v="SITES1203566" u="1"/>
        <s v="SITES1203571" u="1"/>
        <s v="SITES1203574" u="1"/>
        <s v="SITES1203576" u="1"/>
        <s v="SITES1203577" u="1"/>
        <s v="SITES1203579" u="1"/>
        <s v="SITES1203580" u="1"/>
        <s v="SITES1203583" u="1"/>
        <s v="SITES1203591" u="1"/>
        <s v="SITES1203592" u="1"/>
        <s v="SITES1203598" u="1"/>
        <s v="SITES1203599" u="1"/>
        <s v="SITES1203604" u="1"/>
        <s v="SITES1203607" u="1"/>
        <s v="SITES1203615" u="1"/>
        <s v="SITES1203622" u="1"/>
        <s v="SITES1203623" u="1"/>
        <s v="SITES1203635" u="1"/>
        <s v="SITES1203636" u="1"/>
        <s v="SITES1203639" u="1"/>
        <s v="SITES1203647" u="1"/>
        <s v="SITES1203648" u="1"/>
        <s v="SITES1203651" u="1"/>
        <s v="SITES1203658" u="1"/>
        <s v="SITES1203660" u="1"/>
        <s v="SITES1203682" u="1"/>
        <s v="SITES1203694" u="1"/>
        <s v="SITES1203697" u="1"/>
        <s v="SITES1203699" u="1"/>
        <s v="SITES1203706" u="1"/>
        <s v="SITES1203707" u="1"/>
        <s v="SITES1203714" u="1"/>
        <s v="SITES1203720" u="1"/>
        <s v="SITES1203728" u="1"/>
        <s v="SITES1203739" u="1"/>
        <s v="SITES1203775" u="1"/>
        <s v="SITES1203789" u="1"/>
        <s v="SITES1203792" u="1"/>
        <s v="SITES1203804" u="1"/>
        <s v="SITES1203810" u="1"/>
        <s v="SITES1203814" u="1"/>
        <s v="SITES1203818" u="1"/>
        <s v="SITES1203820" u="1"/>
        <s v="SITES1203822" u="1"/>
        <s v="SITES1203825" u="1"/>
        <s v="SITES1203828" u="1"/>
        <s v="SITES1203833" u="1"/>
        <s v="SITES1203838" u="1"/>
        <s v="SITES1203844" u="1"/>
        <s v="SITES1203851" u="1"/>
        <s v="SITES1203854" u="1"/>
        <s v="SITES1203858" u="1"/>
        <s v="SITES1203864" u="1"/>
        <s v="SITES1203868" u="1"/>
        <s v="SITES1203874" u="1"/>
        <s v="SITES1203879" u="1"/>
        <s v="SITES1203892" u="1"/>
        <s v="SITES1203893" u="1"/>
        <s v="SITES1203895" u="1"/>
        <s v="SITES1203896" u="1"/>
        <s v="SITES1203902" u="1"/>
        <s v="SITES1203903" u="1"/>
        <s v="SITES1203906" u="1"/>
        <s v="SITES1203907" u="1"/>
        <s v="SITES1203908" u="1"/>
        <s v="SITES1203920" u="1"/>
        <s v="SITES1203931" u="1"/>
        <s v="SITES1203933" u="1"/>
        <s v="SITES1203934" u="1"/>
        <s v="SITES1203938" u="1"/>
        <s v="SITES1203948" u="1"/>
        <s v="SITES1203951" u="1"/>
        <s v="SITES1203954" u="1"/>
        <s v="SITES1203955" u="1"/>
        <s v="SITES1203958" u="1"/>
        <s v="SITES1203960" u="1"/>
        <s v="SITES1203962" u="1"/>
        <s v="SITES1203965" u="1"/>
        <s v="SITES1203969" u="1"/>
        <s v="SITES1203971" u="1"/>
        <s v="SITES1203974" u="1"/>
        <s v="SITES1203975" u="1"/>
        <s v="SITES1203988" u="1"/>
        <s v="SITES1203998" u="1"/>
        <s v="SITES1204000" u="1"/>
        <s v="SITES1204001" u="1"/>
        <s v="SITES1204002" u="1"/>
        <s v="SITES1204012" u="1"/>
        <s v="SITES1204017" u="1"/>
        <s v="SITES1204023" u="1"/>
        <s v="SITES1204036" u="1"/>
        <s v="SITES1204046" u="1"/>
        <s v="SITES1204051" u="1"/>
        <s v="SITES1204054" u="1"/>
        <s v="SITES1204055" u="1"/>
        <s v="SITES1204057" u="1"/>
        <s v="SITES1204067" u="1"/>
        <s v="SITES1204068" u="1"/>
        <s v="SITES1204071" u="1"/>
        <s v="SITES1204072" u="1"/>
        <s v="SITES1204073" u="1"/>
        <s v="SITES1204096" u="1"/>
        <s v="SITES1204097" u="1"/>
        <s v="SITES1204100" u="1"/>
        <s v="SITES1204103" u="1"/>
        <s v="SITES1204105" u="1"/>
        <s v="SITES1204106" u="1"/>
        <s v="SITES1204109" u="1"/>
        <s v="SITES1204110" u="1"/>
        <s v="SITES1204115" u="1"/>
        <s v="SITES1204119" u="1"/>
        <s v="SITES1204120" u="1"/>
        <s v="SITES1204121" u="1"/>
        <s v="SITES1204126" u="1"/>
        <s v="SITES1204129" u="1"/>
        <s v="SITES1204131" u="1"/>
        <s v="SITES1204132" u="1"/>
        <s v="SITES1204137" u="1"/>
        <s v="SITES1204139" u="1"/>
        <s v="SITES1204145" u="1"/>
        <s v="SITES1204146" u="1"/>
        <s v="SITES1204151" u="1"/>
        <s v="SITES1204152" u="1"/>
        <s v="SITES1204158" u="1"/>
        <s v="SITES1204159" u="1"/>
        <s v="SITES1204160" u="1"/>
        <s v="SITES1204162" u="1"/>
        <s v="SITES1204168" u="1"/>
        <s v="SITES1204174" u="1"/>
        <s v="SITES1204175" u="1"/>
        <s v="SITES1204186" u="1"/>
        <s v="SITES1204188" u="1"/>
        <s v="SITES1204189" u="1"/>
        <s v="SITES1204195" u="1"/>
        <s v="SITES1204206" u="1"/>
        <s v="SITES1204208" u="1"/>
        <s v="SITES1204218" u="1"/>
        <s v="SITES1204220" u="1"/>
        <s v="SITES1204221" u="1"/>
        <s v="SITES1204224" u="1"/>
        <s v="SITES1204226" u="1"/>
        <s v="SITES1204230" u="1"/>
        <s v="SITES1204232" u="1"/>
        <s v="SITES1204233" u="1"/>
        <s v="SITES1204234" u="1"/>
        <s v="SITES1204236" u="1"/>
        <s v="SITES1204238" u="1"/>
        <s v="SITES1204246" u="1"/>
        <s v="SITES1204247" u="1"/>
        <s v="SITES1204248" u="1"/>
        <s v="SITES1204250" u="1"/>
        <s v="SITES1204251" u="1"/>
        <s v="SITES1204252" u="1"/>
        <s v="SITES1204258" u="1"/>
        <s v="SITES1204259" u="1"/>
        <s v="SITES1204261" u="1"/>
        <s v="SITES1204267" u="1"/>
        <s v="SITES1204270" u="1"/>
        <s v="SITES1204275" u="1"/>
        <s v="SITES1204276" u="1"/>
        <s v="SITES1204280" u="1"/>
        <s v="SITES1204283" u="1"/>
        <s v="SITES1204293" u="1"/>
        <s v="SITES1204297" u="1"/>
        <s v="SITES1204301" u="1"/>
        <s v="SITES1204304" u="1"/>
        <s v="SITES1204305" u="1"/>
        <s v="SITES1204306" u="1"/>
        <s v="SITES1204308" u="1"/>
        <s v="SITES1204319" u="1"/>
        <s v="SITES1204322" u="1"/>
        <s v="SITES1204323" u="1"/>
        <s v="SITES1204326" u="1"/>
        <s v="SITES1204328" u="1"/>
        <s v="SITES1204330" u="1"/>
        <s v="SITES1204336" u="1"/>
        <s v="SITES1204337" u="1"/>
        <s v="SITES1204338" u="1"/>
        <s v="SITES1204344" u="1"/>
        <s v="SITES1204347" u="1"/>
        <s v="SITES1204351" u="1"/>
        <s v="SITES1204359" u="1"/>
        <s v="SITES1204360" u="1"/>
        <s v="SITES1204375" u="1"/>
        <s v="SITES1204380" u="1"/>
        <s v="SITES1204381" u="1"/>
        <s v="SITES1204393" u="1"/>
        <s v="SITES1204395" u="1"/>
        <s v="SITES1204396" u="1"/>
        <s v="SITES1204405" u="1"/>
        <s v="SITES1204406" u="1"/>
        <s v="SITES1204407" u="1"/>
        <s v="SITES1204410" u="1"/>
        <s v="SITES1204416" u="1"/>
        <s v="SITES1204423" u="1"/>
        <s v="SITES1204424" u="1"/>
        <s v="SITES1204434" u="1"/>
        <s v="SITES1204451" u="1"/>
        <s v="SITES1204454" u="1"/>
        <s v="SITES1204455" u="1"/>
        <s v="SITES1204458" u="1"/>
        <s v="SITES1204462" u="1"/>
        <s v="SITES1204466" u="1"/>
        <s v="SITES1204468" u="1"/>
        <s v="SITES1204471" u="1"/>
        <s v="SITES1204473" u="1"/>
        <s v="SITES1204476" u="1"/>
        <s v="SITES1204477" u="1"/>
        <s v="SITES1204478" u="1"/>
        <s v="SITES1204479" u="1"/>
        <s v="SITES1204482" u="1"/>
        <s v="SITES1204483" u="1"/>
        <s v="SITES1204486" u="1"/>
        <s v="SITES1204487" u="1"/>
        <s v="SITES1204493" u="1"/>
        <s v="SITES1204494" u="1"/>
        <s v="SITES1204498" u="1"/>
        <s v="SITES1204509" u="1"/>
        <s v="SITES1204510" u="1"/>
        <s v="SITES1204515" u="1"/>
        <s v="SITES1204517" u="1"/>
        <s v="SITES1204520" u="1"/>
        <s v="SITES1204523" u="1"/>
        <s v="SITES1204525" u="1"/>
        <s v="SITES1204528" u="1"/>
        <s v="SITES1204533" u="1"/>
        <s v="SITES1204537" u="1"/>
        <s v="SITES1204539" u="1"/>
        <s v="SITES1204542" u="1"/>
        <s v="SITES1204553" u="1"/>
        <s v="SITES1204554" u="1"/>
        <s v="SITES1204558" u="1"/>
        <s v="SITES1204562" u="1"/>
        <s v="SITES1204564" u="1"/>
        <s v="SITES1204566" u="1"/>
        <s v="SITES1204567" u="1"/>
        <s v="SITES1204569" u="1"/>
        <s v="SITES1204570" u="1"/>
        <s v="SITES1204576" u="1"/>
        <s v="SITES1204578" u="1"/>
        <s v="SITES1204580" u="1"/>
        <s v="SITES1204584" u="1"/>
        <s v="SITES1204585" u="1"/>
        <s v="SITES1204588" u="1"/>
        <s v="SITES1204591" u="1"/>
        <s v="SITES1204596" u="1"/>
        <s v="SITES1204597" u="1"/>
        <s v="SITES1204600" u="1"/>
        <s v="SITES1204601" u="1"/>
        <s v="SITES1204604" u="1"/>
        <s v="SITES1204606" u="1"/>
        <s v="SITES1204626" u="1"/>
        <s v="SITES1204640" u="1"/>
        <s v="SITES1204643" u="1"/>
        <s v="SITES1204645" u="1"/>
        <s v="SITES1204646" u="1"/>
        <s v="SITES1204654" u="1"/>
        <s v="SITES1204656" u="1"/>
        <s v="SITES1204664" u="1"/>
        <s v="SITES1204668" u="1"/>
        <s v="SITES1204673" u="1"/>
        <s v="SITES1204674" u="1"/>
        <s v="SITES1204675" u="1"/>
        <s v="SITES1204676" u="1"/>
        <s v="SITES1204679" u="1"/>
        <s v="SITES1204684" u="1"/>
        <s v="SITES1204686" u="1"/>
        <s v="SITES1204690" u="1"/>
        <s v="SITES1204707" u="1"/>
        <s v="SITES1204708" u="1"/>
        <s v="SITES1204712" u="1"/>
        <s v="SITES1204726" u="1"/>
        <s v="SITES1204737" u="1"/>
        <s v="SITES1204741" u="1"/>
        <s v="SITES1204742" u="1"/>
        <s v="SITES1204747" u="1"/>
        <s v="SITES1204756" u="1"/>
        <s v="SITES1204759" u="1"/>
        <s v="SITES1204764" u="1"/>
        <s v="SITES1204769" u="1"/>
        <s v="SITES1204771" u="1"/>
        <s v="SITES1204772" u="1"/>
        <s v="SITES1204779" u="1"/>
        <s v="SITES1204787" u="1"/>
        <s v="SITES1204789" u="1"/>
        <s v="SITES1204796" u="1"/>
        <s v="SITES1204800" u="1"/>
        <s v="SITES1204803" u="1"/>
        <s v="SITES1204805" u="1"/>
        <s v="SITES1204806" u="1"/>
        <s v="SITES1204809" u="1"/>
        <s v="SITES1204810" u="1"/>
        <s v="SITES1204820" u="1"/>
        <s v="SITES1204821" u="1"/>
        <s v="SITES1204823" u="1"/>
        <s v="SITES1204825" u="1"/>
        <s v="SITES1204827" u="1"/>
        <s v="SITES1204833" u="1"/>
        <s v="SITES1204854" u="1"/>
        <s v="SITES1204855" u="1"/>
        <s v="SITES1204869" u="1"/>
        <s v="SITES1204870" u="1"/>
        <s v="SITES1204875" u="1"/>
        <s v="SITES1204876" u="1"/>
        <s v="SITES1204879" u="1"/>
        <s v="SITES1204880" u="1"/>
        <s v="SITES1204881" u="1"/>
        <s v="SITES1204883" u="1"/>
        <s v="SITES1204884" u="1"/>
        <s v="SITES1204888" u="1"/>
        <s v="SITES1204890" u="1"/>
        <s v="SITES1204891" u="1"/>
        <s v="SITES1204893" u="1"/>
        <s v="SITES1204896" u="1"/>
        <s v="SITES1204897" u="1"/>
        <s v="SITES1204899" u="1"/>
        <s v="SITES1204905" u="1"/>
        <s v="SITES1204906" u="1"/>
        <s v="SITES1204908" u="1"/>
        <s v="SITES1204918" u="1"/>
        <s v="SITES1204921" u="1"/>
        <s v="SITES1204924" u="1"/>
        <s v="SITES1204930" u="1"/>
        <s v="SITES1204931" u="1"/>
        <s v="SITES1204935" u="1"/>
        <s v="SITES1204940" u="1"/>
        <s v="SITES1204942" u="1"/>
        <s v="SITES1204944" u="1"/>
        <s v="SITES1204947" u="1"/>
        <s v="SITES1204948" u="1"/>
        <s v="SITES1204952" u="1"/>
        <s v="SITES1204954" u="1"/>
        <s v="SITES1204959" u="1"/>
        <s v="SITES1204960" u="1"/>
        <s v="SITES1204961" u="1"/>
        <s v="SITES1204967" u="1"/>
        <s v="SITES1204970" u="1"/>
        <s v="SITES1204971" u="1"/>
        <s v="SITES1204977" u="1"/>
        <s v="SITES1204983" u="1"/>
        <s v="SITES1204985" u="1"/>
        <s v="SITES1204987" u="1"/>
        <s v="SITES1204988" u="1"/>
        <s v="SITES1204989" u="1"/>
        <s v="SITES1204995" u="1"/>
        <s v="SITES1204997" u="1"/>
        <s v="SITES1204998" u="1"/>
        <s v="SITES1205000" u="1"/>
        <s v="SITES1205001" u="1"/>
        <s v="SITES1205003" u="1"/>
        <s v="SITES1205017" u="1"/>
        <s v="SITES1205018" u="1"/>
        <s v="SITES1205020" u="1"/>
        <s v="SITES1205021" u="1"/>
        <s v="SITES1205024" u="1"/>
        <s v="SITES1205026" u="1"/>
        <s v="SITES1205028" u="1"/>
        <s v="SITES1205030" u="1"/>
        <s v="SITES1205031" u="1"/>
        <s v="SITES1205034" u="1"/>
        <s v="SITES1205040" u="1"/>
        <s v="SITES1205046" u="1"/>
        <s v="SITES1205047" u="1"/>
        <s v="SITES1205048" u="1"/>
        <s v="SITES1205054" u="1"/>
        <s v="SITES1205055" u="1"/>
        <s v="SITES1205057" u="1"/>
        <s v="SITES1205058" u="1"/>
        <s v="SITES1205060" u="1"/>
        <s v="SITES1205064" u="1"/>
        <s v="SITES1205065" u="1"/>
        <s v="SITES1205070" u="1"/>
        <s v="SITES1205073" u="1"/>
        <s v="SITES1205074" u="1"/>
        <s v="SITES1205075" u="1"/>
        <s v="SITES1205078" u="1"/>
        <s v="SITES1205081" u="1"/>
        <s v="SITES1205082" u="1"/>
        <s v="SITES1205083" u="1"/>
        <s v="SITES1205084" u="1"/>
        <s v="SITES1205087" u="1"/>
        <s v="SITES1205089" u="1"/>
        <s v="SITES1205092" u="1"/>
        <s v="SITES1205093" u="1"/>
        <s v="SITES1205094" u="1"/>
        <s v="SITES1205109" u="1"/>
        <s v="SITES1205112" u="1"/>
        <s v="SITES1205117" u="1"/>
        <s v="SITES1205118" u="1"/>
        <s v="SITES1205119" u="1"/>
        <s v="SITES1205124" u="1"/>
        <s v="SITES1205125" u="1"/>
        <s v="SITES1205126" u="1"/>
        <s v="SITES1205132" u="1"/>
        <s v="SITES1205133" u="1"/>
        <s v="SITES1205134" u="1"/>
        <s v="SITES1205135" u="1"/>
        <s v="SITES1205136" u="1"/>
        <s v="SITES1205141" u="1"/>
        <s v="SITES1205142" u="1"/>
        <s v="SITES1205144" u="1"/>
        <s v="SITES1205150" u="1"/>
        <s v="SITES1205155" u="1"/>
        <s v="SITES1205156" u="1"/>
        <s v="SITES1205161" u="1"/>
        <s v="SITES1205164" u="1"/>
        <s v="SITES1205166" u="1"/>
        <s v="SITES1205167" u="1"/>
        <s v="SITES1205169" u="1"/>
        <s v="SITES1205179" u="1"/>
        <s v="SITES1205186" u="1"/>
        <s v="SITES1205189" u="1"/>
        <s v="SITES1205193" u="1"/>
        <s v="SITES1205197" u="1"/>
        <s v="SITES1205199" u="1"/>
        <s v="SITES1205200" u="1"/>
        <s v="SITES1205201" u="1"/>
        <s v="SITES1205203" u="1"/>
        <s v="SITES1205204" u="1"/>
        <s v="SITES1205206" u="1"/>
        <s v="SITES1205207" u="1"/>
        <s v="SITES1205211" u="1"/>
        <s v="SITES1205218" u="1"/>
        <s v="SITES1205219" u="1"/>
        <s v="SITES1205220" u="1"/>
        <s v="SITES1205222" u="1"/>
        <s v="SITES1205240" u="1"/>
        <s v="SITES1205242" u="1"/>
        <s v="SITES1205247" u="1"/>
        <s v="SITES1205260" u="1"/>
        <s v="SITES1205261" u="1"/>
        <s v="SITES1205262" u="1"/>
        <s v="SITES1205264" u="1"/>
        <s v="SITES1205266" u="1"/>
        <s v="SITES1205268" u="1"/>
        <s v="SITES1205272" u="1"/>
        <s v="SITES1205275" u="1"/>
        <s v="SITES1205280" u="1"/>
        <s v="SITES1205281" u="1"/>
        <s v="SITES1205292" u="1"/>
        <s v="SITES1205293" u="1"/>
        <s v="SITES1205296" u="1"/>
        <s v="SITES1205300" u="1"/>
        <s v="SITES1205301" u="1"/>
        <s v="SITES1205303" u="1"/>
        <s v="SITES1205306" u="1"/>
        <s v="SITES1205308" u="1"/>
        <s v="SITES1205309" u="1"/>
        <s v="SITES1205310" u="1"/>
        <s v="SITES1205313" u="1"/>
        <s v="SITES1205316" u="1"/>
        <s v="SITES1205318" u="1"/>
        <s v="SITES1205320" u="1"/>
        <s v="SITES1205326" u="1"/>
        <s v="SITES1205327" u="1"/>
        <s v="SITES1205332" u="1"/>
        <s v="SITES1205333" u="1"/>
        <s v="SITES1205338" u="1"/>
        <s v="SITES1205339" u="1"/>
        <s v="SITES1208437" u="1"/>
        <s v="SITES1208439" u="1"/>
        <s v="SITES1208441" u="1"/>
        <s v="SITES1208443" u="1"/>
        <s v="SITES1208444" u="1"/>
        <s v="SITES1208445" u="1"/>
        <s v="SITES1208449" u="1"/>
        <s v="SITES1208454" u="1"/>
        <s v="SITES1208456" u="1"/>
        <s v="SITES1208457" u="1"/>
        <s v="SITES1208460" u="1"/>
        <s v="SITES1208463" u="1"/>
        <s v="SITES1208464" u="1"/>
        <s v="SITES1208465" u="1"/>
        <s v="SITES1208468" u="1"/>
        <s v="SITES1208469" u="1"/>
        <s v="SITES1208472" u="1"/>
        <s v="SITES1208473" u="1"/>
        <s v="SITES1208475" u="1"/>
        <s v="SITES1208481" u="1"/>
        <s v="SITES1209229" u="1"/>
        <s v="SITES1209239" u="1"/>
        <s v="SITES1209241" u="1"/>
        <s v="SITES1209243" u="1"/>
        <s v="SITES1209247" u="1"/>
        <s v="SITES1209252" u="1"/>
        <s v="SITES1209253" u="1"/>
        <s v="SITES1209254" u="1"/>
        <s v="SITES1209257" u="1"/>
        <s v="SITES1209263" u="1"/>
        <s v="SITES1209264" u="1"/>
        <s v="SITES1209265" u="1"/>
        <s v="SITES1209267" u="1"/>
        <s v="SITES1209269" u="1"/>
        <s v="SITES1209278" u="1"/>
        <s v="SITES1209279" u="1"/>
        <s v="SITES1209280" u="1"/>
        <s v="SITES1209281" u="1"/>
        <s v="SITES1209283" u="1"/>
        <s v="SITES1209285" u="1"/>
        <s v="SITES1209295" u="1"/>
        <s v="SITES1209298" u="1"/>
        <s v="SITES1209299" u="1"/>
        <s v="SITES1209301" u="1"/>
        <s v="SITES1209307" u="1"/>
        <s v="SITES1209309" u="1"/>
        <s v="SITES1209314" u="1"/>
        <s v="SITES1209317" u="1"/>
        <s v="SITES1209318" u="1"/>
        <s v="SITES1209322" u="1"/>
        <s v="SITES1209323" u="1"/>
        <s v="SITES1209327" u="1"/>
        <s v="SITES1209333" u="1"/>
        <s v="SITES1209335" u="1"/>
        <s v="SITES1209336" u="1"/>
        <s v="SITES1209337" u="1"/>
        <s v="SITES1209341" u="1"/>
        <s v="SITES1209343" u="1"/>
        <s v="SITES1209345" u="1"/>
        <s v="SITES1209347" u="1"/>
        <s v="SITES1209349" u="1"/>
        <s v="SITES1209350" u="1"/>
        <s v="SITES1209352" u="1"/>
        <s v="SITES1209355" u="1"/>
        <s v="SITES1209358" u="1"/>
        <s v="SITES1209360" u="1"/>
        <s v="SITES1209362" u="1"/>
        <s v="SITES1209365" u="1"/>
        <s v="SITES1209370" u="1"/>
        <s v="SITES1209371" u="1"/>
        <s v="SITES1209374" u="1"/>
        <s v="SITES1209375" u="1"/>
        <s v="SITES1209376" u="1"/>
        <s v="SITES1209377" u="1"/>
        <s v="SITES1209378" u="1"/>
        <s v="SITES1209381" u="1"/>
        <s v="SITES1209382" u="1"/>
        <s v="SITES1209387" u="1"/>
        <s v="SITES1209545" u="1"/>
        <s v="SITES1209549" u="1"/>
        <s v="SITES1209555" u="1"/>
        <s v="SITES1209561" u="1"/>
        <s v="SITES1209564" u="1"/>
        <s v="SITES1209565" u="1"/>
        <s v="SITES1209572" u="1"/>
        <s v="SITES1209580" u="1"/>
        <s v="SITES2256" u="1"/>
        <s v="SITES2269" u="1"/>
        <s v="SITES2271" u="1"/>
        <s v="Sites1204365" u="1"/>
        <s v="COMP1065057" u="1"/>
        <s v="COMP1065060" u="1"/>
        <s v="COMP1066321" u="1"/>
        <s v="COMP1066327" u="1"/>
        <s v="COMP1066328" u="1"/>
        <s v="COMP1066401" u="1"/>
        <s v="COMP1066404" u="1"/>
        <s v="COMP1066409" u="1"/>
        <s v="COMP1066410" u="1"/>
        <s v="COMP1066419" u="1"/>
        <s v="COMP1066422" u="1"/>
        <s v="COMP1073002-5" u="1"/>
        <s v="COMP1073004" u="1"/>
        <s v="COMP1073021" u="1"/>
        <s v="COMP1073022" u="1"/>
        <s v="COMP1073024" u="1"/>
        <s v="COMP1073035" u="1"/>
        <s v="COMP1073085-4" u="1"/>
        <s v="COMP1073100" u="1"/>
        <s v="COMP1073103" u="1"/>
        <s v="COMP1073105" u="1"/>
        <s v="COMP1073108" u="1"/>
        <s v="COMP1073117" u="1"/>
        <s v="COMP1073163" u="1"/>
        <s v="COMP1073237" u="1"/>
        <s v="COMP1073238" u="1"/>
        <s v="COMP1073248" u="1"/>
        <s v="COMP1073259" u="1"/>
        <s v="COMP1073267" u="1"/>
        <s v="COMP1073307" u="1"/>
        <s v="COMP1073312" u="1"/>
        <s v="COMP1073316" u="1"/>
        <s v="COMP1073320" u="1"/>
        <s v="COMP1073334" u="1"/>
        <s v="COMP1073336" u="1"/>
        <s v="COMP1073337" u="1"/>
        <s v="COMP1073340" u="1"/>
        <s v="COMP1073341" u="1"/>
        <s v="COMP1073342" u="1"/>
        <s v="COMP1073400-T2" u="1"/>
        <s v="COMP1073402" u="1"/>
        <s v="COMP1073412" u="1"/>
        <s v="COMP1073428" u="1"/>
        <s v="COMP1073429" u="1"/>
        <s v="COMP1073553" u="1"/>
        <s v="COMP1073564" u="1"/>
        <s v="COMP1073567" u="1"/>
        <s v="COMP1073573" u="1"/>
        <s v="COMP1073592" u="1"/>
        <s v="COMP1073597" u="1"/>
        <s v="COMP1073598" u="1"/>
        <s v="COMP1073604" u="1"/>
        <s v="COMP1073609" u="1"/>
        <s v="COMP1073631" u="1"/>
        <s v="COMP1073632" u="1"/>
        <s v="COMP1073633" u="1"/>
        <s v="COMP1073702" u="1"/>
        <s v="COMP1073703" u="1"/>
        <s v="COMP1073704" u="1"/>
        <s v="COMP1073707" u="1"/>
        <s v="COMP1073708" u="1"/>
        <s v="COMP1073715" u="1"/>
        <s v="COMP1080008" u="1"/>
        <s v="COMP1080010" u="1"/>
        <s v="COMP1080011" u="1"/>
        <s v="COMP1080013" u="1"/>
        <s v="COMP1080056" u="1"/>
        <s v="COMP1080057" u="1"/>
        <s v="COMP1080125" u="1"/>
        <s v="COMP1080126" u="1"/>
        <s v="COMP1080145" u="1"/>
        <s v="COMP1080146" u="1"/>
        <s v="COMP1080147" u="1"/>
        <s v="COMP1080151" u="1"/>
        <s v="COMP1080152" u="1"/>
        <s v="COMP1100777" u="1"/>
        <s v="COMP1100793" u="1"/>
        <s v="COMP1100794" u="1"/>
        <s v="COMP1100797" u="1"/>
        <s v="COMP1100799" u="1"/>
        <s v="COMP1100809" u="1"/>
        <s v="COMP1100822" u="1"/>
        <s v="COMP1100824" u="1"/>
        <s v="COMP1110113" u="1"/>
        <s v="COMP1110115" u="1"/>
        <s v="COMP1110127" u="1"/>
        <s v="COMP1110130" u="1"/>
        <s v="COMP1110159" u="1"/>
        <s v="COMP1110164" u="1"/>
        <s v="COMP1110170" u="1"/>
        <s v="COMP1110194" u="1"/>
        <s v="COMP1110205" u="1"/>
        <s v="COMP1110216" u="1"/>
        <s v="COMP1110226" u="1"/>
        <s v="COMP1110228" u="1"/>
        <s v="COMP1203893-T2" u="1"/>
        <s v="COMP1203899" u="1"/>
        <s v="COMP1203918" u="1"/>
        <s v="COMP1203919" u="1"/>
        <s v="COMP1203924" u="1"/>
        <s v="COMP1203928" u="1"/>
        <s v="COMP1203930" u="1"/>
        <s v="COMP1203932" u="1"/>
        <s v="COMP1203933" u="1"/>
        <s v="COMP1203938" u="1"/>
        <s v="COMP1203943" u="1"/>
        <s v="COMP1203947" u="1"/>
        <s v="COMP1203955" u="1"/>
        <s v="COMP1203956" u="1"/>
        <s v="COMP1203957" u="1"/>
        <s v="COMP1203958" u="1"/>
        <s v="COMP1203960" u="1"/>
        <s v="COMP1203964" u="1"/>
        <s v="COMP1203972" u="1"/>
        <s v="COMP1203973" u="1"/>
        <s v="COMP1203977" u="1"/>
        <s v="COMP1203993" u="1"/>
        <s v="COMP1203994" u="1"/>
        <s v="COMP1203997" u="1"/>
        <s v="COMP1204000" u="1"/>
        <s v="COMP1204002" u="1"/>
        <s v="COMP1204004" u="1"/>
        <s v="COMP1204005" u="1"/>
        <s v="COMP1204006" u="1"/>
        <s v="COMP1204008" u="1"/>
        <s v="COMP1204012" u="1"/>
        <s v="COMP1204017" u="1"/>
        <s v="COMP1204018" u="1"/>
        <s v="COMP1204019" u="1"/>
        <s v="COMP1204020" u="1"/>
        <s v="COMP1204021" u="1"/>
        <s v="COMP1204023" u="1"/>
        <s v="COMP1204046" u="1"/>
        <s v="COMP1204053" u="1"/>
        <s v="COMP1204056" u="1"/>
        <s v="COMP1204060" u="1"/>
        <s v="COMP1204076" u="1"/>
        <s v="COMP1204501" u="1"/>
        <s v="COMP1204505" u="1"/>
        <s v="COMP1204506" u="1"/>
        <s v="COMP1204511" u="1"/>
        <s v="COMP1204513" u="1"/>
        <s v="COMP1204519" u="1"/>
        <s v="COMP1204523" u="1"/>
        <s v="COMP1204536" u="1"/>
        <s v="COMP1204538" u="1"/>
        <s v="COMP1204540" u="1"/>
        <s v="COMP1204543" u="1"/>
        <s v="COMP1204545" u="1"/>
        <s v="COMP1204550" u="1"/>
        <s v="COMP1204555" u="1"/>
        <s v="COMP1204559" u="1"/>
        <s v="COMP1204562" u="1"/>
        <s v="COMP1204564" u="1"/>
        <s v="COMP1204565" u="1"/>
        <s v="COMP1204566" u="1"/>
        <s v="COMP1204567" u="1"/>
        <s v="COMP1204568" u="1"/>
        <s v="COMP1204569" u="1"/>
        <s v="COMP1204571" u="1"/>
        <s v="COMP1204575" u="1"/>
        <s v="COMP1204576" u="1"/>
        <s v="COMP1204578" u="1"/>
        <s v="COMP1204585" u="1"/>
        <s v="COMP1204587" u="1"/>
        <s v="COMP1204592" u="1"/>
        <s v="COMP1204596" u="1"/>
        <s v="COMP1204606" u="1"/>
        <s v="COMP1204613" u="1"/>
        <s v="COMP1204614" u="1"/>
        <s v="COMP1204634" u="1"/>
        <s v="COMP1204637" u="1"/>
        <s v="COMP1204639" u="1"/>
        <s v="COMP1204644" u="1"/>
        <s v="COMP1204651" u="1"/>
        <s v="COMP1204661" u="1"/>
        <s v="COMP1206930" u="1"/>
        <s v="COMP1206936" u="1"/>
        <s v="COMP1206937" u="1"/>
        <s v="COMP1206938" u="1"/>
        <s v="COMP1206943" u="1"/>
        <s v="COMP1206944" u="1"/>
        <s v="COMP1206946" u="1"/>
        <s v="COMP1206948" u="1"/>
        <s v="COMP1208330" u="1"/>
        <s v="COMP1208337" u="1"/>
        <s v="COMP1208338" u="1"/>
        <s v="COMP1208424" u="1"/>
        <s v="COMP1208427" u="1"/>
        <s v="COMP1209001" u="1"/>
        <s v="COMP1209007" u="1"/>
        <s v="COMP1209012" u="1"/>
        <s v="COMP1209013" u="1"/>
        <s v="COMP1209014" u="1"/>
        <s v="COMP1209015" u="1"/>
        <s v="COMP1209016" u="1"/>
        <s v="COMP1209019" u="1"/>
        <s v="COMP1209020" u="1"/>
        <s v="COMP1209022" u="1"/>
        <s v="COMP1209027" u="1"/>
        <s v="COMP1209031" u="1"/>
        <s v="COMP1209033" u="1"/>
        <s v="COMP1209039" u="1"/>
        <s v="COMP1209040" u="1"/>
        <s v="COMP1209044" u="1"/>
        <s v="COMP1209046" u="1"/>
        <s v="COMP1209048" u="1"/>
        <s v="COMP1209050" u="1"/>
        <s v="COMP1209051" u="1"/>
        <s v="COMP1209056" u="1"/>
        <s v="COMP1209058" u="1"/>
        <s v="COMP1209059" u="1"/>
        <s v="COMP1209067" u="1"/>
        <s v="COMP1209068" u="1"/>
        <s v="COMP1209069" u="1"/>
        <s v="COMP1209070" u="1"/>
        <s v="COMP1209075" u="1"/>
        <s v="COMP1209076" u="1"/>
        <s v="COMP1209079" u="1"/>
        <s v="COMP1209083" u="1"/>
        <s v="COMP1209084" u="1"/>
        <s v="COMP1209085" u="1"/>
        <s v="COMP1209095" u="1"/>
        <s v="COMP1209096" u="1"/>
        <s v="COMP1209098" u="1"/>
        <s v="COMP1209100" u="1"/>
        <s v="COMP1209105" u="1"/>
        <s v="COMP1209107" u="1"/>
        <s v="COMP1209108" u="1"/>
        <s v="COMP1209120" u="1"/>
        <s v="COMP1209121" u="1"/>
        <s v="COMP1209125" u="1"/>
        <s v="COMP1209128" u="1"/>
        <s v="COMP1209132" u="1"/>
        <s v="COMP1209136" u="1"/>
        <s v="COMP1209140" u="1"/>
        <s v="COMP1209141" u="1"/>
        <s v="CUST1207152" u="1"/>
        <s v="CUST1207166" u="1"/>
        <s v="CUST1207167" u="1"/>
        <s v="CUST1207654" u="1"/>
        <s v="CYPSUP105002" u="1"/>
        <s v="CYPSUP105007" u="1"/>
        <s v="CYPSUP1063705" u="1"/>
        <s v="CYPSUP1063714" u="1"/>
        <s v="CYPSUP1063717" u="1"/>
        <s v="CYPSUP1063720" u="1"/>
        <s v="CYPSUP1063730" u="1"/>
        <s v="CYPSUP1063737" u="1"/>
        <s v="CYPSUP1063746" u="1"/>
        <s v="CYPSUP1063747" u="1"/>
        <s v="CYPSUP1063750" u="1"/>
        <s v="CYPSUP1063751" u="1"/>
        <s v="CYPSUP1063755" u="1"/>
        <s v="CYPSUP1063758" u="1"/>
        <s v="CYPSUP1063767" u="1"/>
        <s v="CYPSUP1063773" u="1"/>
        <s v="CYPSUP1073000" u="1"/>
        <s v="CYPSUP1073001" u="1"/>
        <s v="CYPSUP1073006" u="1"/>
        <s v="CYPSUP1073007" u="1"/>
        <s v="CYPSUP1073018" u="1"/>
        <s v="CYPSUP1073025" u="1"/>
        <s v="CYPSUP1073030" u="1"/>
        <s v="CYPSUP1073031" u="1"/>
        <s v="CYPSUP1073036" u="1"/>
        <s v="CYPSUP1073037" u="1"/>
        <s v="CYPSUP1073045" u="1"/>
        <s v="CYPSUP1073056" u="1"/>
        <s v="CYPSUP1073069" u="1"/>
        <s v="CYPSUP1073093" u="1"/>
        <s v="CYPSUP1073098" u="1"/>
        <s v="CYPSUP1073116" u="1"/>
        <s v="CYPSUP1073142" u="1"/>
        <s v="CYPSUP1073147" u="1"/>
        <s v="CYPSUP1073171" u="1"/>
        <s v="CYPSUP1073174" u="1"/>
        <s v="CYPSUP1073175" u="1"/>
        <s v="CYPSUP1073186-T2" u="1"/>
        <s v="CYPSUP1073189" u="1"/>
        <s v="CYPSUP1073194" u="1"/>
        <s v="CYPSUP1073196" u="1"/>
        <s v="CYPSUP1073197" u="1"/>
        <s v="CYPSUP1073202" u="1"/>
        <s v="CYPSUP1073205" u="1"/>
        <s v="CYPSUP1073206" u="1"/>
        <s v="CYPSUP1073208" u="1"/>
        <s v="CYPSUP1073210" u="1"/>
        <s v="CYPSUP1073213" u="1"/>
        <s v="CYPSUP1073214" u="1"/>
        <s v="CYPSUP1073218" u="1"/>
        <s v="CYPSUP1073220" u="1"/>
        <s v="CYPSUP1073222" u="1"/>
        <s v="CYPSUP1073230" u="1"/>
        <s v="CYPSUP1073236" u="1"/>
        <s v="CYPSUP1073252" u="1"/>
        <s v="CYPSUP1073256" u="1"/>
        <s v="CYPSUP1073271" u="1"/>
        <s v="CYPSUP1073276" u="1"/>
        <s v="CYPSUP1073282" u="1"/>
        <s v="CYPSUP1073283" u="1"/>
        <s v="CYPSUP1073284" u="1"/>
        <s v="CYPSUP1073285" u="1"/>
        <s v="CYPSUP1073286" u="1"/>
        <s v="CYPSUP1073296" u="1"/>
        <s v="CYPSUP1074016" u="1"/>
        <s v="CYPSUP1074026" u="1"/>
        <s v="CYPSUP1080000" u="1"/>
        <s v="CYPSUP1080021-T2" u="1"/>
        <s v="CYPSUP1100008" u="1"/>
        <s v="CYPSUP1100012" u="1"/>
        <s v="CYPSUP1100018" u="1"/>
        <s v="CYPSUP1100028" u="1"/>
        <s v="CYPSUP1100031" u="1"/>
        <s v="CYPSUP1100033" u="1"/>
        <s v="CYPSUP1100034" u="1"/>
        <s v="CYPSUP1100036" u="1"/>
        <s v="CYPSUP1100051" u="1"/>
        <s v="CYPSUP1100065" u="1"/>
        <s v="CYPSUP1100071" u="1"/>
        <s v="CYPSUP1100073" u="1"/>
        <s v="CYPSUP1203401" u="1"/>
        <s v="CYPSUP1203410" u="1"/>
        <s v="CYPSUP1203424" u="1"/>
        <s v="CYPSUP1203428" u="1"/>
        <s v="CYPSUP1203436" u="1"/>
        <s v="CYPSUP1203442" u="1"/>
        <s v="CYPSUP1203447" u="1"/>
        <s v="CYPSUP1203452" u="1"/>
        <s v="CYPSUP1203454" u="1"/>
        <s v="CYPSUP1203456" u="1"/>
        <s v="CYPSUP1203533" u="1"/>
        <s v="CYPSUP1203600" u="1"/>
        <s v="CYPSUP1203601" u="1"/>
        <s v="CYPSUP1203602" u="1"/>
        <s v="CYPSUP1203609" u="1"/>
        <s v="CYPSUP1203619" u="1"/>
        <s v="CYPSUP1203623" u="1"/>
        <s v="CYPSUP1203624" u="1"/>
        <s v="CYPSUP1203626" u="1"/>
        <s v="CYPSUP1203630" u="1"/>
        <s v="CYPSUP1203632" u="1"/>
        <s v="CYPSUP1203633" u="1"/>
        <s v="CYPSUP120503" u="1"/>
        <s v="CYPSUP120504" u="1"/>
        <s v="CYPSUP120505" u="1"/>
        <s v="CYPSUP120508" u="1"/>
        <s v="CYPSUP120509" u="1"/>
        <s v="CYPSUP120512" u="1"/>
        <s v="CYPSUP120513" u="1"/>
        <s v="CYPSUP120514" u="1"/>
        <s v="CYPSUP120517" u="1"/>
        <s v="CYPSUP120523" u="1"/>
        <s v="CYPSUP120526" u="1"/>
        <s v="CYPSUP120527" u="1"/>
        <s v="CYPSUP120528" u="1"/>
        <s v="CYPSUP120529" u="1"/>
        <s v="CYPSUP1205617" u="1"/>
        <s v="CYPSUP1205619" u="1"/>
        <s v="CYPSUP1206013" u="1"/>
        <s v="CYPSUP1206017" u="1"/>
        <s v="CYPSUP1206019" u="1"/>
        <s v="CYPSUP1206020" u="1"/>
        <s v="CYPSUP1206031" u="1"/>
        <s v="CYPSUP1206033" u="1"/>
        <s v="CYPSUP1206034" u="1"/>
        <s v="CYPSUP1206035" u="1"/>
        <s v="CYPSUP1206038" u="1"/>
        <s v="CYPSUP1206928" u="1"/>
        <s v="CYPSUP1206930" u="1"/>
        <s v="CYPSUP1206932" u="1"/>
        <s v="CYPSUP1206942" u="1"/>
        <s v="CYPSUP1206943" u="1"/>
        <s v="CYPSUP1206946" u="1"/>
        <s v="CYPSUP1206947" u="1"/>
        <s v="CYPSUP1206948" u="1"/>
        <s v="CYPSUP1206958" u="1"/>
        <s v="CYPSUP1206963" u="1"/>
        <s v="CYPSUP1206964" u="1"/>
        <s v="CYPSUP1206965" u="1"/>
        <s v="CYPSUP1206968" u="1"/>
        <s v="CYPSUP1206972" u="1"/>
        <s v="CYPSUP1206974" u="1"/>
        <s v="CYPSUP1206975" u="1"/>
        <s v="CYPSUP1206980" u="1"/>
        <s v="CYPSUP1206984" u="1"/>
        <s v="CYPSUP1206988" u="1"/>
        <s v="CYPSUP1206991" u="1"/>
        <s v="CYPSUP1206993" u="1"/>
        <s v="CYPSUP1206995" u="1"/>
        <s v="CYPSUP1206997" u="1"/>
        <s v="CYPSUP1207076" u="1"/>
        <s v="CYPSUP1207077" u="1"/>
        <s v="CYPSUP1207080" u="1"/>
        <s v="CYPSUP1207083" u="1"/>
        <s v="CYPSUP1207084" u="1"/>
        <s v="CYPSUP1207095" u="1"/>
        <s v="CYPSUP1207096" u="1"/>
        <s v="CYPSUP1207099" u="1"/>
        <s v="CYPSUP1207104" u="1"/>
        <s v="CYPSUP1207127" u="1"/>
        <s v="CYPSUP1207129" u="1"/>
        <s v="CYPSUP1207151" u="1"/>
        <s v="CYPSUP1207159" u="1"/>
        <s v="CYPSUP1207160" u="1"/>
        <s v="CYPSUP1207484" u="1"/>
        <s v="CYPSUP1207486" u="1"/>
        <s v="CYPSUP1207488" u="1"/>
        <s v="CYPSUP1207492" u="1"/>
        <s v="CYPSUP1207681" u="1"/>
        <s v="CYPSUP1207684" u="1"/>
        <s v="CYPSUP1207685" u="1"/>
        <s v="CYPSUP1208377" u="1"/>
        <s v="CYPSUP1208378" u="1"/>
        <s v="CYPSUP1208391" u="1"/>
        <s v="CYPSUP1208394" u="1"/>
        <s v="CYPSUP1208396" u="1"/>
        <s v="CYPSUP1208397" u="1"/>
        <s v="CYPSUP1208398" u="1"/>
        <s v="CYPSUP1208402" u="1"/>
        <s v="CYPSUP1208430" u="1"/>
        <s v="CYPSUP1208431" u="1"/>
        <s v="CYPSUP1209173" u="1"/>
        <s v="CYPSUP1209175" u="1"/>
        <s v="CYPSUP1209176" u="1"/>
        <s v="CYPSUP1209177" u="1"/>
        <s v="CYPSUP1209180" u="1"/>
        <s v="CYPSUP1209185" u="1"/>
        <s v="CYPSUP1209189" u="1"/>
        <s v="CYPSUP1209193" u="1"/>
        <s v="CYPSUP1209194" u="1"/>
        <s v="CYPSUP1209196" u="1"/>
        <s v="CYPSUP1209198" u="1"/>
        <s v="CYPSUP1209200" u="1"/>
        <s v="CYPSUP1209202" u="1"/>
        <s v="CYPSUP1209205" u="1"/>
        <s v="CYPSUP1209206" u="1"/>
        <s v="CYPSUP1209208" u="1"/>
        <s v="CYPSUP1209210" u="1"/>
        <s v="CYPSUP1209213" u="1"/>
        <s v="CYPSUP1209215" u="1"/>
        <s v="CYPSUP1209217" u="1"/>
        <s v="CYPSUP1209218" u="1"/>
        <s v="CYPSUP1209219" u="1"/>
        <s v="CYPSUP1209220" u="1"/>
        <s v="CYPSUP1209234" u="1"/>
        <s v="CYPSUP1209235" u="1"/>
        <s v="CYPSUP1209238" u="1"/>
        <s v="CYPSUP1209240" u="1"/>
        <s v="CYPSUP1209242" u="1"/>
        <s v="CYPSUP1209244" u="1"/>
        <s v="CYPSUP1209245" u="1"/>
        <s v="CYPSUP1209248" u="1"/>
        <s v="CYPSUP1209252" u="1"/>
        <s v="CYPSUP1209257" u="1"/>
        <s v="CYPSUP1209258" u="1"/>
        <s v="CYPSUP1209261" u="1"/>
        <s v="CYPSUP1209262" u="1"/>
        <s v="CYPSUP1209263" u="1"/>
        <s v="CYPSUP1209269" u="1"/>
        <s v="CYPSUP1209274" u="1"/>
        <s v="CYPSUP1209275" u="1"/>
        <s v="CYPSUP1209280" u="1"/>
        <s v="CYPSUP1209283" u="1"/>
        <s v="CYPSUP1209284" u="1"/>
        <s v="CYPSUP1209285" u="1"/>
        <s v="CYPSUP1209287" u="1"/>
        <s v="CYPSUP1209290" u="1"/>
        <s v="CYPSUP1209292" u="1"/>
        <s v="CYPSUP1209294" u="1"/>
        <s v="CYPSUP1209296" u="1"/>
        <s v="CYPSUP1209298" u="1"/>
        <s v="CYPSUP1209301" u="1"/>
        <s v="CYPSUP1209302" u="1"/>
        <s v="CYPSUP1209304" u="1"/>
        <s v="CYPSUP1209305" u="1"/>
        <s v="CYPSUP1209307" u="1"/>
        <s v="CYPSUP1209314" u="1"/>
        <s v="CYPSUP1209320" u="1"/>
        <s v="CYPSUP1209324" u="1"/>
        <s v="CYPSUP1209325" u="1"/>
        <s v="CYPSUP1209327" u="1"/>
        <s v="CYPSUP1209329" u="1"/>
        <s v="CYPSUP1209334" u="1"/>
        <s v="CYPSUP1209340" u="1"/>
        <s v="CYPSUP1209342" u="1"/>
        <s v="CYPSUP1209345" u="1"/>
        <s v="CYPSUP1209346" u="1"/>
        <s v="CYPSUP1209351" u="1"/>
        <s v="CYPSUP1209353" u="1"/>
        <s v="CYPSUP1209355" u="1"/>
        <s v="CYPSUP1209358" u="1"/>
        <s v="CYPSUP1209359" u="1"/>
        <s v="CYPSUP1209369" u="1"/>
        <s v="CYPSUP1209372" u="1"/>
        <s v="CYPSUP1209373" u="1"/>
        <s v="CYPSUP1209375" u="1"/>
        <s v="CYPSUP1209379" u="1"/>
        <s v="CYPSUP1209380" u="1"/>
        <s v="CYPSUP1209383" u="1"/>
        <s v="CYPSUP1210179" u="1"/>
        <s v="CYPSUP1210180" u="1"/>
        <s v="PAC1010731" u="1"/>
        <s v="PAC1049659" u="1"/>
        <s v="PAC1049995" u="1"/>
        <s v="PAC1049999" u="1"/>
        <s v="PAC1050299" u="1"/>
        <s v="PAC1050309" u="1"/>
        <s v="PAC1051192" u="1"/>
        <s v="PAC1051193" u="1"/>
        <s v="PAC1051394" u="1"/>
        <s v="PAC1052547" u="1"/>
        <s v="PAC1052556" u="1"/>
        <s v="PAC1052577" u="1"/>
        <s v="PAC2697" u="1"/>
        <s v="PAC2740" u="1"/>
        <s v="PAC3304" u="1"/>
        <s v="PAC3305" u="1"/>
        <s v="PAC3319" u="1"/>
        <s v="PAC3419" u="1"/>
        <s v="PAC3429" u="1"/>
        <s v="PAC3446" u="1"/>
        <s v="PAC3582" u="1"/>
        <s v="PAC3635" u="1"/>
        <s v="PAC3828" u="1"/>
        <s v="PAC3843" u="1"/>
        <s v="PAC3851" u="1"/>
        <s v="PAC3857" u="1"/>
        <s v="PIPE1073000" u="1"/>
        <s v="PIPE1080110" u="1"/>
        <s v="PIPE1080111" u="1"/>
        <s v="PIPE1080117" u="1"/>
        <s v="PIPE1080119" u="1"/>
        <s v="PIPE1080127" u="1"/>
        <s v="PIPE1080141" u="1"/>
        <s v="PIPE1080145" u="1"/>
        <s v="PIPE1080148" u="1"/>
        <s v="PIPE1080153" u="1"/>
        <s v="PIPE1080154" u="1"/>
        <s v="PIPE1080157" u="1"/>
        <s v="PIPE1080158" u="1"/>
        <s v="PIPE1080161" u="1"/>
        <s v="PIPE1080162" u="1"/>
        <s v="PIPE1080168" u="1"/>
        <s v="PIPE1080173" u="1"/>
        <s v="PIPE1080178" u="1"/>
        <s v="PIPE1080180" u="1"/>
        <s v="PIPE1080182" u="1"/>
        <s v="PIPE1080183" u="1"/>
        <s v="PIPE1080186" u="1"/>
        <s v="PIPE1080194" u="1"/>
        <s v="PIPE1080198" u="1"/>
        <s v="PIPE1080200" u="1"/>
        <s v="PIPE1080210" u="1"/>
        <s v="PIPE1080222" u="1"/>
        <s v="PIPE1080223" u="1"/>
        <s v="PIPE1080229" u="1"/>
        <s v="PIPE1080232" u="1"/>
        <s v="PIPE1080233" u="1"/>
        <s v="PIPE1080235" u="1"/>
        <s v="PIPE1080240" u="1"/>
        <s v="PIPE1080242" u="1"/>
        <s v="PIPE1080244" u="1"/>
        <s v="PIPE1080246" u="1"/>
        <s v="PIPE1080255" u="1"/>
        <s v="PIPE1080257" u="1"/>
        <s v="PIPE1080261" u="1"/>
        <s v="PIPE1080262" u="1"/>
        <s v="PIPE1080266" u="1"/>
        <s v="PIPE1080270" u="1"/>
        <s v="PIPE1080276" u="1"/>
        <s v="PIPE1080280" u="1"/>
        <s v="PIPE1080287" u="1"/>
        <s v="PIPE1080289" u="1"/>
        <s v="PIPE1080291" u="1"/>
        <s v="PIPE1080294" u="1"/>
        <s v="PIPE1080299" u="1"/>
        <s v="PIPE1080301" u="1"/>
        <s v="PIPE1080302" u="1"/>
        <s v="PIPE1080303" u="1"/>
        <s v="PIPE1080307" u="1"/>
        <s v="PIPE1080309" u="1"/>
        <s v="PIPE1080318" u="1"/>
        <s v="PIPE1080319" u="1"/>
        <s v="PIPE1080321" u="1"/>
        <s v="PIPE1080322" u="1"/>
        <s v="PIPE1080326" u="1"/>
        <s v="PIPE1080327" u="1"/>
        <s v="PIPE1080336" u="1"/>
        <s v="PIPE1080343" u="1"/>
        <s v="PIPE1080352" u="1"/>
        <s v="PIPE1080353" u="1"/>
        <s v="PIPE1080354" u="1"/>
        <s v="PIPE1080356" u="1"/>
        <s v="PIPE1080367" u="1"/>
        <s v="PIPE1080369" u="1"/>
        <s v="PIPE1080370" u="1"/>
        <s v="PIPE1080378" u="1"/>
        <s v="PIPE1080382" u="1"/>
        <s v="PIPE1080383" u="1"/>
        <s v="PIPE1080385" u="1"/>
        <s v="PIPE1080392" u="1"/>
        <s v="PIPE1080393" u="1"/>
        <s v="PIPE1080394" u="1"/>
        <s v="PIPE1080400" u="1"/>
        <s v="PIPE1080401" u="1"/>
        <s v="PIPE1080405" u="1"/>
        <s v="PIPE1080409" u="1"/>
        <s v="PIPE1080412" u="1"/>
        <s v="PIPE1080415" u="1"/>
        <s v="PIPE1080416" u="1"/>
        <s v="PIPE1080418" u="1"/>
        <s v="PIPE1080419" u="1"/>
        <s v="PIPE1080420" u="1"/>
        <s v="PIPE1080422" u="1"/>
        <s v="PIPE1080429" u="1"/>
        <s v="PIPE1080430" u="1"/>
        <s v="PIPE1080431" u="1"/>
        <s v="PIPE1080432" u="1"/>
        <s v="PIPE1080434" u="1"/>
        <s v="PIPE1080435" u="1"/>
        <s v="PIPE1080441" u="1"/>
        <s v="PIPE1080444" u="1"/>
        <s v="PIPE1080445" u="1"/>
        <s v="PIPE1080446" u="1"/>
        <s v="PIPE1080447" u="1"/>
        <s v="PIPE1080448" u="1"/>
        <s v="PIPE1080450" u="1"/>
        <s v="PIPE1080456" u="1"/>
        <s v="PIPE1080457" u="1"/>
        <s v="PIPE1080459" u="1"/>
        <s v="PIPE1080469" u="1"/>
        <s v="PIPE1080470" u="1"/>
        <s v="PIPE1080471" u="1"/>
        <s v="PIPE1080473" u="1"/>
        <s v="PIPE1080477" u="1"/>
        <s v="PIPE1080480" u="1"/>
        <s v="PIPE1080487" u="1"/>
        <s v="PIPE1080489" u="1"/>
        <s v="PIPE1080495" u="1"/>
        <s v="PIPE1080496" u="1"/>
        <s v="PIPE1080501" u="1"/>
        <s v="PIPE1080503" u="1"/>
        <s v="PIPE1080505" u="1"/>
        <s v="PIPE1080509" u="1"/>
        <s v="PIPE1080510" u="1"/>
        <s v="PIPE1080511" u="1"/>
        <s v="PIPE1080516" u="1"/>
        <s v="PIPE1080517" u="1"/>
        <s v="PIPE1080526" u="1"/>
        <s v="PIPE1080529" u="1"/>
        <s v="PIPE1080530" u="1"/>
        <s v="PIPE1080531" u="1"/>
        <s v="PIPE1080533" u="1"/>
        <s v="PIPE1080537" u="1"/>
        <s v="PIPE1080549" u="1"/>
        <s v="PIPE1080550" u="1"/>
        <s v="PIPE1080554" u="1"/>
        <s v="PIPE1200214" u="1"/>
        <s v="PIPE1200215" u="1"/>
        <s v="PIPE1200216" u="1"/>
        <s v="PIPE1200223" u="1"/>
        <s v="PIPE1200248" u="1"/>
        <s v="PIPE1200249" u="1"/>
        <s v="PIPE1200250" u="1"/>
        <s v="PIPE1200278" u="1"/>
        <s v="PIPE1200281" u="1"/>
        <s v="PIPE1200285" u="1"/>
        <s v="PIPE1200286" u="1"/>
        <s v="PIPE1200287" u="1"/>
        <s v="PIPE1200323" u="1"/>
        <s v="PIPE1200330" u="1"/>
        <s v="PIPE1200348" u="1"/>
        <s v="PIPE1200384" u="1"/>
        <s v="PIPE1200385" u="1"/>
        <s v="PIPE1200388" u="1"/>
        <s v="PIPE1200398" u="1"/>
        <s v="PIPE1200410" u="1"/>
        <s v="PIPE1200433" u="1"/>
        <s v="PIPE1200435" u="1"/>
        <s v="PIPE1200446" u="1"/>
        <s v="PIPE1200452" u="1"/>
        <s v="PIPE1200454" u="1"/>
        <s v="PIPE1200455" u="1"/>
        <s v="PIPE1200456" u="1"/>
        <s v="PIPE1200473" u="1"/>
        <s v="PIPE1200479" u="1"/>
        <s v="PIPE1200506" u="1"/>
        <s v="PIPE1200507" u="1"/>
        <s v="PIPE1200539" u="1"/>
        <s v="PIPE1200542" u="1"/>
        <s v="PIPE1200543" u="1"/>
        <s v="PIPE1200549" u="1"/>
        <s v="PIPE1200564" u="1"/>
        <s v="PIPE1200571" u="1"/>
        <s v="PIPE1200586" u="1"/>
        <s v="PIPE1200591" u="1"/>
        <s v="PIPE1200598" u="1"/>
        <s v="PIPE1200623" u="1"/>
        <s v="PIPE1200634" u="1"/>
        <s v="PIPE1200658" u="1"/>
        <s v="PIPE1200666" u="1"/>
        <s v="PIPE1200680" u="1"/>
        <s v="PIPE1200681" u="1"/>
        <s v="PIPE1200687" u="1"/>
        <s v="PIPE1200808" u="1"/>
        <s v="PIPE1200810" u="1"/>
        <s v="PIPE1200812" u="1"/>
        <s v="PIPE1200814" u="1"/>
        <s v="PIPE1200826" u="1"/>
        <s v="PIPE1200860" u="1"/>
        <s v="PIPE1200867" u="1"/>
        <s v="PIPE1200875" u="1"/>
        <s v="PIPE1200880" u="1"/>
        <s v="PIPE1200895" u="1"/>
        <s v="PIPE1200898" u="1"/>
        <s v="PIPE1200914" u="1"/>
        <s v="PIPE1200928" u="1"/>
        <s v="PIPE1200930" u="1"/>
        <s v="PIPE1200938" u="1"/>
        <s v="PIPE1200940" u="1"/>
        <s v="PIPE1201011" u="1"/>
        <s v="PIPE1201017" u="1"/>
        <s v="PIPE1202000" u="1"/>
        <s v="PIPE1202002" u="1"/>
        <s v="PIPE1202009" u="1"/>
        <s v="PIPE1202013" u="1"/>
        <s v="PIPE1202016" u="1"/>
        <s v="PIPE1202021" u="1"/>
        <s v="PIPE1202028" u="1"/>
        <s v="PIPE1202036" u="1"/>
        <s v="PIPE1202046" u="1"/>
        <s v="PIPE1202048" u="1"/>
        <s v="PIPE1202058" u="1"/>
        <s v="PIPE1202063" u="1"/>
        <s v="PIPE1202065" u="1"/>
        <s v="PIPE1202069" u="1"/>
        <s v="PIPE1202071" u="1"/>
        <s v="PIPE1202076" u="1"/>
        <s v="PIPE1202083" u="1"/>
        <s v="PIPE1202085" u="1"/>
        <s v="PIPE1202086" u="1"/>
        <s v="PIPE1202088" u="1"/>
        <s v="PIPE1202089" u="1"/>
        <s v="PIPE1202092" u="1"/>
        <s v="PIPE1202094" u="1"/>
        <s v="PIPE1202096" u="1"/>
        <s v="PIPE1202098" u="1"/>
        <s v="PIPE1202099" u="1"/>
        <s v="PIPE1202100" u="1"/>
        <s v="PIPE1202101" u="1"/>
        <s v="PIPE1202102" u="1"/>
        <s v="PIPE1202103" u="1"/>
        <s v="PIPE1202107" u="1"/>
        <s v="PIPE1202108" u="1"/>
        <s v="PIPE1202112" u="1"/>
        <s v="PIPE1202118" u="1"/>
        <s v="PIPE1202123" u="1"/>
        <s v="PIPE1202124" u="1"/>
        <s v="PIPE1202125" u="1"/>
        <s v="PIPE1202131" u="1"/>
        <s v="PIPE1202133" u="1"/>
        <s v="PIPE1202143" u="1"/>
        <s v="PIPE1203169" u="1"/>
        <s v="PIPE1203406" u="1"/>
        <s v="PIPE1203424" u="1"/>
        <s v="PIPE1203425" u="1"/>
        <s v="PIPE1203426" u="1"/>
        <s v="PIPE1203429" u="1"/>
        <s v="PIPE1203438" u="1"/>
        <s v="PIPE1203439" u="1"/>
        <s v="PIPE1203440" u="1"/>
        <s v="PIPE1203441" u="1"/>
        <s v="PIPE1203444" u="1"/>
        <s v="PIPE1203446" u="1"/>
        <s v="PIPE1203454" u="1"/>
        <s v="PIPE1203458" u="1"/>
        <s v="PIPE1203460" u="1"/>
        <s v="PIPE1203461" u="1"/>
        <s v="PIPE1203465" u="1"/>
        <s v="PIPE1203467" u="1"/>
        <s v="PIPE1203470" u="1"/>
        <s v="PIPE1203474" u="1"/>
        <s v="PIPE1203475" u="1"/>
        <s v="PIPE1203480" u="1"/>
        <s v="PIPE1203481" u="1"/>
        <s v="PIPE1203483" u="1"/>
        <s v="PIPE1203486" u="1"/>
        <s v="PIPE1203488" u="1"/>
        <s v="PIPE1203493" u="1"/>
        <s v="PIPE1203494" u="1"/>
        <s v="PIPE1203496" u="1"/>
        <s v="PIPE1203497" u="1"/>
        <s v="PIPE1203501" u="1"/>
        <s v="PIPE1203502" u="1"/>
        <s v="PIPE1203989" u="1"/>
        <s v="PIPE1203998" u="1"/>
        <s v="PIPE1204022" u="1"/>
        <s v="PIPE1204028" u="1"/>
        <s v="PIPE1204029" u="1"/>
        <s v="PIPE1204041" u="1"/>
        <s v="PIPE1204059" u="1"/>
        <s v="PIPE1204069" u="1"/>
        <s v="PIPE1204070" u="1"/>
        <s v="PIPE1204071" u="1"/>
        <s v="PIPE1204074" u="1"/>
        <s v="PIPE1204075" u="1"/>
        <s v="PIPE1204076" u="1"/>
        <s v="PIPE1204085" u="1"/>
        <s v="PIPE1204112" u="1"/>
        <s v="PIPE1204187" u="1"/>
        <s v="PIPE1204206" u="1"/>
        <s v="PIPE1204211" u="1"/>
        <s v="PIPE1204212" u="1"/>
        <s v="PIPE1204213" u="1"/>
        <s v="PIPE1204215" u="1"/>
        <s v="PIPE1204221" u="1"/>
        <s v="PIPE1204223" u="1"/>
        <s v="PIPE1204228" u="1"/>
        <s v="PIPE1204231" u="1"/>
        <s v="PIPE1204232" u="1"/>
        <s v="PIPE1204238" u="1"/>
        <s v="PIPE1204293" u="1"/>
        <s v="PIPE1204295" u="1"/>
        <s v="PIPE1204296" u="1"/>
        <s v="PIPE1204297" u="1"/>
        <s v="PIPE1204299" u="1"/>
        <s v="PIPE1204300" u="1"/>
        <s v="PIPE1204304" u="1"/>
        <s v="PIPE1204306" u="1"/>
        <s v="PIPE1204309" u="1"/>
        <s v="PIPE1204313" u="1"/>
        <s v="PIPE1204317" u="1"/>
        <s v="PIPE1204323" u="1"/>
        <s v="PIPE1204351" u="1"/>
        <s v="PIPE1204353" u="1"/>
        <s v="PIPE1204360" u="1"/>
        <s v="PIPE1204372" u="1"/>
        <s v="PIPE1204374" u="1"/>
        <s v="PIPE1204375" u="1"/>
        <s v="PIPE1204407" u="1"/>
        <s v="PIPE1204432" u="1"/>
        <s v="PIPE1204434" u="1"/>
        <s v="PIPE1204647" u="1"/>
        <s v="PIPE1204648" u="1"/>
        <s v="PIPE1204652" u="1"/>
        <s v="PIPE1204655" u="1"/>
        <s v="PIPE1205104" u="1"/>
        <s v="PIPE1205106" u="1"/>
        <s v="PIPE1205108" u="1"/>
        <s v="PIPE1205110" u="1"/>
        <s v="PIPE1205114" u="1"/>
        <s v="PIPE1205117" u="1"/>
        <s v="PIPE1205118" u="1"/>
        <s v="PIPE1205121" u="1"/>
        <s v="PIPE1205125" u="1"/>
        <s v="PIPE1205126" u="1"/>
        <s v="PIPE1205132" u="1"/>
        <s v="PIPE1205134" u="1"/>
        <s v="PIPE1205138" u="1"/>
        <s v="PIPE1205139" u="1"/>
        <s v="PIPE1206928" u="1"/>
        <s v="PIPE1207321" u="1"/>
        <s v="PIPE1207324" u="1"/>
        <s v="PIPE1207325" u="1"/>
        <s v="PIPE1207329" u="1"/>
        <s v="PIPE1207332" u="1"/>
        <s v="PIPE1207334" u="1"/>
        <s v="PIPE1207339" u="1"/>
        <s v="PIPE1207341" u="1"/>
        <s v="PIPE1207343" u="1"/>
        <s v="PIPE1207345" u="1"/>
        <s v="PIPE1207346" u="1"/>
        <s v="PIPE1207349" u="1"/>
        <s v="PIPE1207351" u="1"/>
        <s v="PIPE1207360" u="1"/>
        <s v="PIPE1207361" u="1"/>
        <s v="PIPE1207395" u="1"/>
        <s v="PIPE1207409" u="1"/>
        <s v="PIPE1207410" u="1"/>
        <s v="PIPE1207414" u="1"/>
        <s v="PIPE1207421" u="1"/>
        <s v="PIPE1207423" u="1"/>
        <s v="PIPE1207427" u="1"/>
        <s v="PIPE1208325" u="1"/>
        <s v="PIPE1208331" u="1"/>
        <s v="PIPE1208332" u="1"/>
        <s v="PIPE1208334" u="1"/>
        <s v="PIPE1208337" u="1"/>
        <s v="PIPE1208428" u="1"/>
        <s v="PIPE1208499" u="1"/>
        <s v="PIPE1208500" u="1"/>
        <s v="PIPE1208501" u="1"/>
        <s v="PIPE1208603" u="1"/>
        <s v="PIPE1209150" u="1"/>
        <s v="PIPE1209157" u="1"/>
        <s v="PIPE1209158" u="1"/>
        <s v="PIPE1209159" u="1"/>
        <s v="PIPE1209160" u="1"/>
        <s v="PIPE1209165" u="1"/>
        <s v="PIPE1209166" u="1"/>
        <s v="PIPE1209167" u="1"/>
        <s v="PIPE1209170" u="1"/>
        <s v="PIPE1209865" u="1"/>
        <s v="PIPE1209866" u="1"/>
        <s v="PIPE1209867" u="1"/>
        <s v="PIPE1209874" u="1"/>
        <s v="PIPE1209877" u="1"/>
        <s v="PIPE1209879" u="1"/>
        <s v="PIPE1209882" u="1"/>
        <s v="PIPE1209892" u="1"/>
        <s v="PIPE1209894" u="1"/>
        <s v="PIPE1209895" u="1"/>
        <s v="PIPE1209897" u="1"/>
        <s v="PIPE1209898" u="1"/>
        <s v="PIPE1209899" u="1"/>
        <s v="PIPE1209902" u="1"/>
        <s v="PIPE1209904" u="1"/>
        <s v="PIPE1209905" u="1"/>
        <s v="PIPE1209908" u="1"/>
        <s v="PIPE1209912" u="1"/>
        <s v="PIPE1209918" u="1"/>
        <s v="PIPE1209919" u="1"/>
        <s v="PIPE1209926" u="1"/>
        <s v="PIPE1209927" u="1"/>
        <s v="PIPE1209928" u="1"/>
        <s v="PIPE1209933" u="1"/>
        <s v="PIPE1209935" u="1"/>
        <s v="PIPE1209936" u="1"/>
        <s v="PIPE1209938" u="1"/>
        <s v="PIPE1209939" u="1"/>
        <s v="PIPE1209943" u="1"/>
        <s v="PIPE1209944" u="1"/>
        <s v="PIPE1209946" u="1"/>
        <s v="PIPE1209947" u="1"/>
        <s v="PIPE1209948" u="1"/>
        <s v="PIPE1209955" u="1"/>
        <s v="PIPE1209958" u="1"/>
        <s v="PIPE1209961" u="1"/>
        <s v="PIPE1209963" u="1"/>
        <s v="PIPE1209964" u="1"/>
        <s v="PIPE1209965" u="1"/>
        <s v="PIPE1209968" u="1"/>
        <s v="PIPE1209969" u="1"/>
        <s v="PIPE1209971" u="1"/>
        <s v="PIPE1209977" u="1"/>
        <s v="PIPE1209978" u="1"/>
        <s v="PIPE1209984" u="1"/>
        <s v="PIPE1209986" u="1"/>
        <s v="PIPE1209988" u="1"/>
        <s v="PIPE1209991" u="1"/>
        <s v="PIPE1209992" u="1"/>
        <s v="PIPE1210000" u="1"/>
        <s v="PIPE1210001" u="1"/>
        <s v="PIPE1210006" u="1"/>
        <s v="PIPE1210012" u="1"/>
        <s v="PIPE1210018" u="1"/>
        <s v="PIPE1210019" u="1"/>
        <s v="PIPE1210022" u="1"/>
        <s v="PIPE1210027" u="1"/>
        <s v="PIPE1210029" u="1"/>
        <s v="PIPE1210035" u="1"/>
        <s v="PIPE1210037" u="1"/>
        <s v="PIPE1210039" u="1"/>
        <s v="PIPE2258" u="1"/>
        <s v="PIPE2267" u="1"/>
        <s v="SA12130053" u="1"/>
        <s v="SA12131164" u="1"/>
        <s v="SA12131171" u="1"/>
        <s v="SA12131218" u="1"/>
        <s v="SA12131257" u="1"/>
        <s v="SA12131318" u="1"/>
        <s v="SA12131331" u="1"/>
        <s v="SA12131718" u="1"/>
        <s v="SA12132056" u="1"/>
        <s v="SITES1063330" u="1"/>
        <s v="SITES1063345" u="1"/>
        <s v="SITES1063346" u="1"/>
        <s v="SITES1063348" u="1"/>
        <s v="SITES1063469" u="1"/>
        <s v="SITES1063470" u="1"/>
        <s v="SITES1063473" u="1"/>
        <s v="SITES1063479" u="1"/>
        <s v="SITES1063482" u="1"/>
        <s v="SITES1063499" u="1"/>
        <s v="SITES1063500" u="1"/>
        <s v="SITES1063501" u="1"/>
        <s v="SITES1063502" u="1"/>
        <s v="SITES1063505" u="1"/>
        <s v="SITES1063506" u="1"/>
        <s v="SITES1063517" u="1"/>
        <s v="SITES1063530" u="1"/>
        <s v="SITES1063531" u="1"/>
        <s v="SITES1063567" u="1"/>
        <s v="SITES1063570" u="1"/>
        <s v="SITES1063571" u="1"/>
        <s v="SITES1063574" u="1"/>
        <s v="SITES1063582" u="1"/>
        <s v="SITES1063587" u="1"/>
        <s v="SITES1063590" u="1"/>
        <s v="SITES1063591" u="1"/>
        <s v="SITES1063592" u="1"/>
        <s v="SITES1063596" u="1"/>
        <s v="SITES1063600" u="1"/>
        <s v="SITES1063603" u="1"/>
        <s v="SITES1063604" u="1"/>
        <s v="SITES1063610" u="1"/>
        <s v="SITES1063616" u="1"/>
        <s v="SITES1063618" u="1"/>
        <s v="SITES1063621" u="1"/>
        <s v="SITES1063645" u="1"/>
        <s v="SITES1063649" u="1"/>
        <s v="SITES1063652" u="1"/>
        <s v="SITES1063658" u="1"/>
        <s v="SITES1063664" u="1"/>
        <s v="SITES1063668" u="1"/>
        <s v="SITES1063670" u="1"/>
        <s v="SITES1063671" u="1"/>
        <s v="SITES1063672" u="1"/>
        <s v="SITES1063674" u="1"/>
        <s v="SITES1063680" u="1"/>
        <s v="SITES1063681" u="1"/>
        <s v="SITES1063687" u="1"/>
        <s v="SITES1063692" u="1"/>
        <s v="SITES1063695" u="1"/>
        <s v="SITES1063696" u="1"/>
        <s v="SITES1063698" u="1"/>
        <s v="SITES1063701" u="1"/>
        <s v="SITES1063705" u="1"/>
        <s v="SITES1063706" u="1"/>
        <s v="SITES1063708" u="1"/>
        <s v="SITES1063709" u="1"/>
        <s v="SITES1063726" u="1"/>
        <s v="SITES1063731" u="1"/>
        <s v="SITES1063732" u="1"/>
        <s v="SITES1063733" u="1"/>
        <s v="SITES1063735" u="1"/>
        <s v="SITES1063743" u="1"/>
        <s v="SITES1063746" u="1"/>
        <s v="SITES1063747" u="1"/>
        <s v="SITES1063753" u="1"/>
        <s v="SITES1063754" u="1"/>
        <s v="SITES1063797" u="1"/>
        <s v="SITES1063861" u="1"/>
        <s v="SITES1063906" u="1"/>
        <s v="SITES1063923" u="1"/>
        <s v="SITES1073036" u="1"/>
        <s v="SITES1073037" u="1"/>
        <s v="SITES1073044" u="1"/>
        <s v="SITES1073084" u="1"/>
        <s v="SITES1073085" u="1"/>
        <s v="SITES1073089" u="1"/>
        <s v="SITES1073091" u="1"/>
        <s v="SITES1073093" u="1"/>
        <s v="SITES1073114" u="1"/>
        <s v="SITES1073122" u="1"/>
        <s v="SITES1073125" u="1"/>
        <s v="SITES1073126" u="1"/>
        <s v="SITES1073128" u="1"/>
        <s v="SITES1073136" u="1"/>
        <s v="SITES1073142" u="1"/>
        <s v="SITES1073143" u="1"/>
        <s v="SITES1073144" u="1"/>
        <s v="SITES1073149" u="1"/>
        <s v="SITES1073151" u="1"/>
        <s v="SITES1073152" u="1"/>
        <s v="SITES1073153" u="1"/>
        <s v="SITES1073156" u="1"/>
        <s v="SITES1073417" u="1"/>
        <s v="SITES1073418" u="1"/>
        <s v="SITES1073425" u="1"/>
        <s v="SITES1073426" u="1"/>
        <s v="SITES1073432" u="1"/>
        <s v="SITES1073433" u="1"/>
        <s v="SITES1073434" u="1"/>
        <s v="SITES1073441" u="1"/>
        <s v="SITES1073443" u="1"/>
        <s v="SITES1073447" u="1"/>
        <s v="SITES1073449" u="1"/>
        <s v="SITES1073450" u="1"/>
        <s v="SITES1073504" u="1"/>
        <s v="SITES1073506" u="1"/>
        <s v="SITES1073513" u="1"/>
        <s v="SITES1073514" u="1"/>
        <s v="SITES1073517" u="1"/>
        <s v="SITES1073518" u="1"/>
        <s v="SITES1073521" u="1"/>
        <s v="SITES1073523" u="1"/>
        <s v="SITES1073526" u="1"/>
        <s v="SITES1073527" u="1"/>
        <s v="SITES1073532" u="1"/>
        <s v="SITES1073533" u="1"/>
        <s v="SITES1073536" u="1"/>
        <s v="SITES1073537" u="1"/>
        <s v="SITES1073538" u="1"/>
        <s v="SITES1073545" u="1"/>
        <s v="SITES1073548" u="1"/>
        <s v="SITES1073598" u="1"/>
        <s v="SITES1073613" u="1"/>
        <s v="SITES1073621" u="1"/>
        <s v="SITES1073625" u="1"/>
        <s v="SITES1073628" u="1"/>
        <s v="SITES1073629" u="1"/>
        <s v="SITES1073642" u="1"/>
        <s v="SITES1073648" u="1"/>
        <s v="SITES1073662" u="1"/>
        <s v="SITES1073663" u="1"/>
        <s v="SITES1073679" u="1"/>
        <s v="SITES1073682" u="1"/>
        <s v="SITES1073683" u="1"/>
        <s v="SITES1073684" u="1"/>
        <s v="SITES1073689" u="1"/>
        <s v="SITES1073694" u="1"/>
        <s v="SITES1073699" u="1"/>
        <s v="SITES1073700" u="1"/>
        <s v="SITES1073702" u="1"/>
        <s v="SITES1073710" u="1"/>
        <s v="SITES1073712" u="1"/>
        <s v="SITES1073717" u="1"/>
        <s v="SITES1073727" u="1"/>
        <s v="SITES1073734" u="1"/>
        <s v="SITES1073757" u="1"/>
        <s v="SITES1073763" u="1"/>
        <s v="SITES1073767" u="1"/>
        <s v="SITES1073811" u="1"/>
        <s v="SITES1073815" u="1"/>
        <s v="SITES1073821" u="1"/>
        <s v="SITES1073827" u="1"/>
        <s v="SITES1073828" u="1"/>
        <s v="SITES1073839" u="1"/>
        <s v="SITES1073840" u="1"/>
        <s v="SITES1073855" u="1"/>
        <s v="SITES1073856" u="1"/>
        <s v="SITES1073857" u="1"/>
        <s v="SITES1073859" u="1"/>
        <s v="SITES1073860" u="1"/>
        <s v="SITES1073861" u="1"/>
        <s v="SITES1073862" u="1"/>
        <s v="SITES1073868" u="1"/>
        <s v="SITES1073869" u="1"/>
        <s v="SITES1073875" u="1"/>
        <s v="SITES1073877" u="1"/>
        <s v="SITES1073882" u="1"/>
        <s v="SITES1073884" u="1"/>
        <s v="SITES1073896" u="1"/>
        <s v="SITES1073909" u="1"/>
        <s v="SITES1073912" u="1"/>
        <s v="SITES1073924" u="1"/>
        <s v="SITES1073926" u="1"/>
        <s v="SITES1073930" u="1"/>
        <s v="SITES1073944" u="1"/>
        <s v="SITES1073945" u="1"/>
        <s v="SITES1073951" u="1"/>
        <s v="SITES1074326" u="1"/>
        <s v="SITES1074404" u="1"/>
        <s v="SITES1074414" u="1"/>
        <s v="SITES1074416" u="1"/>
        <s v="SITES1074421" u="1"/>
        <s v="SITES1074422" u="1"/>
        <s v="SITES1074424" u="1"/>
        <s v="SITES1074425" u="1"/>
        <s v="SITES1074427" u="1"/>
        <s v="SITES1074432" u="1"/>
        <s v="SITES1074436" u="1"/>
        <s v="SITES1074437" u="1"/>
        <s v="SITES1074438" u="1"/>
        <s v="SITES1074439" u="1"/>
        <s v="SITES1074444" u="1"/>
        <s v="SITES1074445" u="1"/>
        <s v="SITES1074447" u="1"/>
        <s v="SITES1074449" u="1"/>
        <s v="SITES1074461" u="1"/>
        <s v="SITES1074462" u="1"/>
        <s v="SITES1074463" u="1"/>
        <s v="SITES1074469" u="1"/>
        <s v="SITES1074471" u="1"/>
        <s v="SITES1074472" u="1"/>
        <s v="SITES1074474" u="1"/>
        <s v="SITES1074477" u="1"/>
        <s v="SITES1074479" u="1"/>
        <s v="SITES1074480" u="1"/>
        <s v="SITES1074484" u="1"/>
        <s v="SITES1074531" u="1"/>
        <s v="SITES1074535" u="1"/>
        <s v="SITES1074537" u="1"/>
        <s v="SITES1074539" u="1"/>
        <s v="SITES1074540" u="1"/>
        <s v="SITES1074556" u="1"/>
        <s v="SITES1074731" u="1"/>
        <s v="SITES1074740" u="1"/>
        <s v="SITES1074742" u="1"/>
        <s v="SITES1074752" u="1"/>
        <s v="SITES1074758" u="1"/>
        <s v="SITES1074765" u="1"/>
        <s v="SITES1074771" u="1"/>
        <s v="SITES1074772" u="1"/>
        <s v="SITES1074775" u="1"/>
        <s v="SITES1074788" u="1"/>
        <s v="SITES1074798" u="1"/>
        <s v="SITES1074800" u="1"/>
        <s v="SITES1074829" u="1"/>
        <s v="SITES1074921" u="1"/>
        <s v="SITES1074924" u="1"/>
        <s v="SITES1074925" u="1"/>
        <s v="SITES1074926" u="1"/>
        <s v="SITES1074928" u="1"/>
        <s v="SITES1075012" u="1"/>
        <s v="SITES1080006" u="1"/>
        <s v="SITES1080021" u="1"/>
        <s v="SITES1080024" u="1"/>
        <s v="SITES1080026" u="1"/>
        <s v="SITES1080069" u="1"/>
        <s v="SITES1080071" u="1"/>
        <s v="SITES1080072" u="1"/>
        <s v="SITES1080073" u="1"/>
        <s v="SITES1080095" u="1"/>
        <s v="SITES1080096" u="1"/>
        <s v="SITES1080097" u="1"/>
        <s v="SITES1080101" u="1"/>
        <s v="SITES1080104" u="1"/>
        <s v="SITES1080109" u="1"/>
        <s v="SITES1080110" u="1"/>
        <s v="SITES1080113" u="1"/>
        <s v="SITES1080130" u="1"/>
        <s v="SITES1080133" u="1"/>
        <s v="SITES1080141" u="1"/>
        <s v="SITES1080151" u="1"/>
        <s v="SITES1080153" u="1"/>
        <s v="SITES1080166" u="1"/>
        <s v="SITES1080174" u="1"/>
        <s v="SITES1080179" u="1"/>
        <s v="SITES1080180" u="1"/>
        <s v="SITES1080184" u="1"/>
        <s v="SITES1080191" u="1"/>
        <s v="SITES1080196" u="1"/>
        <s v="SITES1080202" u="1"/>
        <s v="SITES1080204" u="1"/>
        <s v="SITES1080205" u="1"/>
        <s v="SITES1080206" u="1"/>
        <s v="SITES1080211" u="1"/>
        <s v="SITES1080212" u="1"/>
        <s v="SITES1080214" u="1"/>
        <s v="SITES1080217" u="1"/>
        <s v="SITES1080218" u="1"/>
        <s v="SITES1080219" u="1"/>
        <s v="SITES1080269" u="1"/>
        <s v="SITES1080273" u="1"/>
        <s v="SITES1100109" u="1"/>
        <s v="SITES1100119" u="1"/>
        <s v="SITES1100138" u="1"/>
        <s v="SITES1100153" u="1"/>
        <s v="SITES1100160" u="1"/>
        <s v="SITES1100187" u="1"/>
        <s v="SITES1100311" u="1"/>
        <s v="SITES1100315" u="1"/>
        <s v="SITES1100340" u="1"/>
        <s v="SITES1100402" u="1"/>
        <s v="SITES1100404" u="1"/>
        <s v="SITES1100405" u="1"/>
        <s v="SITES1100475" u="1"/>
        <s v="SITES1100508" u="1"/>
        <s v="SITES1100537" u="1"/>
        <s v="SITES1100566" u="1"/>
        <s v="SITES1100570" u="1"/>
        <s v="SITES1100573" u="1"/>
        <s v="SITES1100603" u="1"/>
        <s v="SITES1100647" u="1"/>
        <s v="SITES1100761" u="1"/>
        <s v="SITES1100763" u="1"/>
        <s v="SITES1110001" u="1"/>
        <s v="SITES1110002" u="1"/>
        <s v="SITES1110036" u="1"/>
        <s v="SITES1110037" u="1"/>
        <s v="SITES1110038" u="1"/>
        <s v="SITES1110039" u="1"/>
        <s v="SITES1110044" u="1"/>
        <s v="SITES1110045" u="1"/>
        <s v="SITES1110046" u="1"/>
        <s v="SITES1110049" u="1"/>
        <s v="SITES1110074" u="1"/>
        <s v="SITES1110095" u="1"/>
        <s v="SITES1110106" u="1"/>
        <s v="SITES1110110" u="1"/>
        <s v="SITES1110111" u="1"/>
        <s v="SITES1110121" u="1"/>
        <s v="SITES1110122" u="1"/>
        <s v="SITES1110123" u="1"/>
        <s v="SITES1110126" u="1"/>
        <s v="SITES1110129" u="1"/>
        <s v="SITES1110518" u="1"/>
        <s v="SITES1110521" u="1"/>
        <s v="SITES1110534" u="1"/>
        <s v="SITES1110624" u="1"/>
        <s v="SITES1110625" u="1"/>
        <s v="SITES1110957" u="1"/>
        <s v="SITES1110965" u="1"/>
        <s v="SITES1110968" u="1"/>
        <s v="SITES1110970" u="1"/>
        <s v="SITES1110976" u="1"/>
        <s v="SITES1110990" u="1"/>
        <s v="SITES1110992" u="1"/>
        <s v="SITES1110996" u="1"/>
        <s v="SITES1110998" u="1"/>
        <s v="SITES1110999" u="1"/>
        <s v="SITES1111001" u="1"/>
        <s v="SITES1111002" u="1"/>
        <s v="SITES1111007" u="1"/>
        <s v="SITES1111009" u="1"/>
        <s v="SITES1111147" u="1"/>
        <s v="SITES1111150" u="1"/>
        <s v="SITES1111272" u="1"/>
        <s v="SITES1111423" u="1"/>
        <s v="SITES1111426" u="1"/>
        <s v="SITES1111432" u="1"/>
        <s v="SITES1111433" u="1"/>
        <s v="SITES1111438" u="1"/>
        <s v="SITES1111439" u="1"/>
        <s v="SITES1111440" u="1"/>
        <s v="SITES1111443" u="1"/>
        <s v="SITES1111445" u="1"/>
        <s v="SITES1111447" u="1"/>
        <s v="SITES1111456" u="1"/>
        <s v="SITES1111461" u="1"/>
        <s v="SITES1111485" u="1"/>
        <s v="SITES1111489" u="1"/>
        <s v="SITES1111496" u="1"/>
        <s v="SITES1111500" u="1"/>
        <s v="SITES1111501" u="1"/>
        <s v="SITES1203397" u="1"/>
        <s v="SITES1203403" u="1"/>
        <s v="SITES1203405" u="1"/>
        <s v="SITES1203409" u="1"/>
        <s v="SITES1203427" u="1"/>
        <s v="SITES1203428" u="1"/>
        <s v="SITES1203430" u="1"/>
        <s v="SITES1203461" u="1"/>
        <s v="SITES1203463" u="1"/>
        <s v="SITES1203465" u="1"/>
        <s v="SITES1203469" u="1"/>
        <s v="SITES1203471" u="1"/>
        <s v="SITES1203476" u="1"/>
        <s v="SITES1203478" u="1"/>
        <s v="SITES1203483" u="1"/>
        <s v="SITES1203488" u="1"/>
        <s v="SITES1203491" u="1"/>
        <s v="SITES1203493" u="1"/>
        <s v="SITES1203495" u="1"/>
        <s v="SITES1203496" u="1"/>
        <s v="SITES1203498" u="1"/>
        <s v="SITES1203500" u="1"/>
        <s v="SITES1203501" u="1"/>
        <s v="SITES1203502" u="1"/>
        <s v="SITES1203504" u="1"/>
        <s v="SITES1203510" u="1"/>
        <s v="SITES1203513" u="1"/>
        <s v="SITES1203522" u="1"/>
        <s v="SITES1203526" u="1"/>
        <s v="SITES1203528" u="1"/>
        <s v="SITES1203532" u="1"/>
        <s v="SITES1203535" u="1"/>
        <s v="SITES1203540" u="1"/>
        <s v="SITES1203545" u="1"/>
        <s v="SITES1203548" u="1"/>
        <s v="SITES1203552" u="1"/>
        <s v="SITES1203553" u="1"/>
        <s v="SITES1203565" u="1"/>
        <s v="SITES1203569" u="1"/>
        <s v="SITES1203584" u="1"/>
        <s v="SITES1203585" u="1"/>
        <s v="SITES1203586" u="1"/>
        <s v="SITES1203588" u="1"/>
        <s v="SITES1203589" u="1"/>
        <s v="SITES1203593" u="1"/>
        <s v="SITES1203596" u="1"/>
        <s v="SITES1203597" u="1"/>
        <s v="SITES1203600" u="1"/>
        <s v="SITES1203601" u="1"/>
        <s v="SITES1203602" u="1"/>
        <s v="SITES1203605" u="1"/>
        <s v="SITES1203608" u="1"/>
        <s v="SITES1203610" u="1"/>
        <s v="SITES1203612" u="1"/>
        <s v="SITES1203613" u="1"/>
        <s v="SITES1203614" u="1"/>
        <s v="SITES1203616" u="1"/>
        <s v="SITES1203617" u="1"/>
        <s v="SITES1203619" u="1"/>
        <s v="SITES1203621" u="1"/>
        <s v="SITES1203624" u="1"/>
        <s v="SITES1203625" u="1"/>
        <s v="SITES1203626" u="1"/>
        <s v="SITES1203628" u="1"/>
        <s v="SITES1203633" u="1"/>
        <s v="SITES1203634" u="1"/>
        <s v="SITES1203643" u="1"/>
        <s v="SITES1203644" u="1"/>
        <s v="SITES1203645" u="1"/>
        <s v="SITES1203646" u="1"/>
        <s v="SITES1203649" u="1"/>
        <s v="SITES1203650" u="1"/>
        <s v="SITES1203654" u="1"/>
        <s v="SITES1203655" u="1"/>
        <s v="SITES1203656" u="1"/>
        <s v="SITES1203657" u="1"/>
        <s v="SITES1203662" u="1"/>
        <s v="SITES1203663" u="1"/>
        <s v="SITES1203664" u="1"/>
        <s v="SITES1203665" u="1"/>
        <s v="SITES1203669" u="1"/>
        <s v="SITES1203676" u="1"/>
        <s v="SITES1203688" u="1"/>
        <s v="SITES1203692" u="1"/>
        <s v="SITES1203696" u="1"/>
        <s v="SITES1203698" u="1"/>
        <s v="SITES1203700" u="1"/>
        <s v="SITES1203705" u="1"/>
        <s v="SITES1203710" u="1"/>
        <s v="SITES1203718" u="1"/>
        <s v="SITES1203769" u="1"/>
        <s v="SITES1203787" u="1"/>
        <s v="SITES1203791" u="1"/>
        <s v="SITES1203800" u="1"/>
        <s v="SITES1203802" u="1"/>
        <s v="SITES1203806" u="1"/>
        <s v="SITES1203813" u="1"/>
        <s v="SITES1203821" u="1"/>
        <s v="SITES1203826" u="1"/>
        <s v="SITES1203829" u="1"/>
        <s v="SITES1203839" u="1"/>
        <s v="SITES1203840" u="1"/>
        <s v="SITES1203856" u="1"/>
        <s v="SITES1203859" u="1"/>
        <s v="SITES1203863" u="1"/>
        <s v="SITES1203878" u="1"/>
        <s v="SITES1203882" u="1"/>
        <s v="SITES1203883" u="1"/>
        <s v="SITES1203889" u="1"/>
        <s v="SITES1203891" u="1"/>
        <s v="SITES1203894" u="1"/>
        <s v="SITES1203898" u="1"/>
        <s v="SITES1203900" u="1"/>
        <s v="SITES1203901" u="1"/>
        <s v="SITES1203905" u="1"/>
        <s v="SITES1203910" u="1"/>
        <s v="SITES1203911" u="1"/>
        <s v="SITES1203921" u="1"/>
        <s v="SITES1203923" u="1"/>
        <s v="SITES1203924" u="1"/>
        <s v="SITES1203935" u="1"/>
        <s v="SITES1203936" u="1"/>
        <s v="SITES1203939" u="1"/>
        <s v="SITES1203944" u="1"/>
        <s v="SITES1203947" u="1"/>
        <s v="SITES1203961" u="1"/>
        <s v="SITES1203972" u="1"/>
        <s v="SITES1203985" u="1"/>
        <s v="SITES1203986" u="1"/>
        <s v="SITES1204009" u="1"/>
        <s v="SITES1204018" u="1"/>
        <s v="SITES1204021" u="1"/>
        <s v="SITES1204031" u="1"/>
        <s v="SITES1204037" u="1"/>
        <s v="SITES1204042" u="1"/>
        <s v="SITES1204044" u="1"/>
        <s v="SITES1204059" u="1"/>
        <s v="SITES1204075" u="1"/>
        <s v="SITES1204085" u="1"/>
        <s v="SITES1204086" u="1"/>
        <s v="SITES1204089" u="1"/>
        <s v="SITES1204098" u="1"/>
        <s v="SITES1204099" u="1"/>
        <s v="SITES1204101" u="1"/>
        <s v="SITES1204102" u="1"/>
        <s v="SITES1204104" u="1"/>
        <s v="SITES1204107" u="1"/>
        <s v="SITES1204111" u="1"/>
        <s v="SITES1204113" u="1"/>
        <s v="SITES1204114" u="1"/>
        <s v="SITES1204117" u="1"/>
        <s v="SITES1204123" u="1"/>
        <s v="SITES1204125" u="1"/>
        <s v="SITES1204134" u="1"/>
        <s v="SITES1204136" u="1"/>
        <s v="SITES1204140" u="1"/>
        <s v="SITES1204142" u="1"/>
        <s v="SITES1204149" u="1"/>
        <s v="SITES1204155" u="1"/>
        <s v="SITES1204161" u="1"/>
        <s v="SITES1204163" u="1"/>
        <s v="SITES1204164" u="1"/>
        <s v="SITES1204165" u="1"/>
        <s v="SITES1204166" u="1"/>
        <s v="SITES1204167" u="1"/>
        <s v="SITES1204169" u="1"/>
        <s v="SITES1204170" u="1"/>
        <s v="SITES1204184" u="1"/>
        <s v="SITES1204185" u="1"/>
        <s v="SITES1204190" u="1"/>
        <s v="SITES1204192" u="1"/>
        <s v="SITES1204197" u="1"/>
        <s v="SITES1204199" u="1"/>
        <s v="SITES1204200" u="1"/>
        <s v="SITES1204205" u="1"/>
        <s v="SITES1204207" u="1"/>
        <s v="SITES1204209" u="1"/>
        <s v="SITES1204210" u="1"/>
        <s v="SITES1204223" u="1"/>
        <s v="SITES1204225" u="1"/>
        <s v="SITES1204227" u="1"/>
        <s v="SITES1204228" u="1"/>
        <s v="SITES1204229" u="1"/>
        <s v="SITES1204231" u="1"/>
        <s v="SITES1204235" u="1"/>
        <s v="SITES1204237" u="1"/>
        <s v="SITES1204240" u="1"/>
        <s v="SITES1204241" u="1"/>
        <s v="SITES1204242" u="1"/>
        <s v="SITES1204243" u="1"/>
        <s v="SITES1204249" u="1"/>
        <s v="SITES1204260" u="1"/>
        <s v="SITES1204262" u="1"/>
        <s v="SITES1204263" u="1"/>
        <s v="SITES1204264" u="1"/>
        <s v="SITES1204265" u="1"/>
        <s v="SITES1204266" u="1"/>
        <s v="SITES1204269" u="1"/>
        <s v="SITES1204272" u="1"/>
        <s v="SITES1204273" u="1"/>
        <s v="SITES1204274" u="1"/>
        <s v="SITES1204278" u="1"/>
        <s v="SITES1204282" u="1"/>
        <s v="SITES1204284" u="1"/>
        <s v="SITES1204285" u="1"/>
        <s v="SITES1204286" u="1"/>
        <s v="SITES1204291" u="1"/>
        <s v="SITES1204294" u="1"/>
        <s v="SITES1204303" u="1"/>
        <s v="SITES1204309" u="1"/>
        <s v="SITES1204310" u="1"/>
        <s v="SITES1204317" u="1"/>
        <s v="SITES1204318" u="1"/>
        <s v="SITES1204320" u="1"/>
        <s v="SITES1204321" u="1"/>
        <s v="SITES1204324" u="1"/>
        <s v="SITES1204325" u="1"/>
        <s v="SITES1204329" u="1"/>
        <s v="SITES1204333" u="1"/>
        <s v="SITES1204335" u="1"/>
        <s v="SITES1204348" u="1"/>
        <s v="SITES1204371" u="1"/>
        <s v="SITES1204376" u="1"/>
        <s v="SITES1204384" u="1"/>
        <s v="SITES1204389" u="1"/>
        <s v="SITES1204391" u="1"/>
        <s v="SITES1204394" u="1"/>
        <s v="SITES1204399" u="1"/>
        <s v="SITES1204402" u="1"/>
        <s v="SITES1204404" u="1"/>
        <s v="SITES1204412" u="1"/>
        <s v="SITES1204413" u="1"/>
        <s v="SITES1204417" u="1"/>
        <s v="SITES1204420" u="1"/>
        <s v="SITES1204421" u="1"/>
        <s v="SITES1204426" u="1"/>
        <s v="SITES1204427" u="1"/>
        <s v="SITES1204428" u="1"/>
        <s v="SITES1204429" u="1"/>
        <s v="SITES1204431" u="1"/>
        <s v="SITES1204432" u="1"/>
        <s v="SITES1204435" u="1"/>
        <s v="SITES1204436" u="1"/>
        <s v="SITES1204438" u="1"/>
        <s v="SITES1204439" u="1"/>
        <s v="SITES1204441" u="1"/>
        <s v="SITES1204445" u="1"/>
        <s v="SITES1204447" u="1"/>
        <s v="SITES1204449" u="1"/>
        <s v="SITES1204450" u="1"/>
        <s v="SITES1204452" u="1"/>
        <s v="SITES1204456" u="1"/>
        <s v="SITES1204464" u="1"/>
        <s v="SITES1204467" u="1"/>
        <s v="SITES1204469" u="1"/>
        <s v="SITES1204472" u="1"/>
        <s v="SITES1204489" u="1"/>
        <s v="SITES1204490" u="1"/>
        <s v="SITES1204491" u="1"/>
        <s v="SITES1204495" u="1"/>
        <s v="SITES1204501" u="1"/>
        <s v="SITES1204504" u="1"/>
        <s v="SITES1204506" u="1"/>
        <s v="SITES1204511" u="1"/>
        <s v="SITES1204512" u="1"/>
        <s v="SITES1204513" u="1"/>
        <s v="SITES1204514" u="1"/>
        <s v="SITES1204524" u="1"/>
        <s v="SITES1204526" u="1"/>
        <s v="SITES1204529" u="1"/>
        <s v="SITES1204530" u="1"/>
        <s v="SITES1204541" u="1"/>
        <s v="SITES1204545" u="1"/>
        <s v="SITES1204546" u="1"/>
        <s v="SITES1204547" u="1"/>
        <s v="SITES1204548" u="1"/>
        <s v="SITES1204549" u="1"/>
        <s v="SITES1204550" u="1"/>
        <s v="SITES1204551" u="1"/>
        <s v="SITES1204556" u="1"/>
        <s v="SITES1204559" u="1"/>
        <s v="SITES1204560" u="1"/>
        <s v="SITES1204561" u="1"/>
        <s v="SITES1204568" u="1"/>
        <s v="SITES1204573" u="1"/>
        <s v="SITES1204577" u="1"/>
        <s v="SITES1204583" u="1"/>
        <s v="SITES1204586" u="1"/>
        <s v="SITES1204587" u="1"/>
        <s v="SITES1204589" u="1"/>
        <s v="SITES1204592" u="1"/>
        <s v="SITES1204602" u="1"/>
        <s v="SITES1204603" u="1"/>
        <s v="SITES1204625" u="1"/>
        <s v="SITES1204627" u="1"/>
        <s v="SITES1204628" u="1"/>
        <s v="SITES1204630" u="1"/>
        <s v="SITES1204631" u="1"/>
        <s v="SITES1204633" u="1"/>
        <s v="SITES1204634" u="1"/>
        <s v="SITES1204635" u="1"/>
        <s v="SITES1204636" u="1"/>
        <s v="SITES1204639" u="1"/>
        <s v="SITES1204642" u="1"/>
        <s v="SITES1204647" u="1"/>
        <s v="SITES1204650" u="1"/>
        <s v="SITES1204657" u="1"/>
        <s v="SITES1204665" u="1"/>
        <s v="SITES1204666" u="1"/>
        <s v="SITES1204670" u="1"/>
        <s v="SITES1204671" u="1"/>
        <s v="SITES1204685" u="1"/>
        <s v="SITES1204688" u="1"/>
        <s v="SITES1204705" u="1"/>
        <s v="SITES1204706" u="1"/>
        <s v="SITES1204709" u="1"/>
        <s v="SITES1204710" u="1"/>
        <s v="SITES1204714" u="1"/>
        <s v="SITES1204717" u="1"/>
        <s v="SITES1204718" u="1"/>
        <s v="SITES1204720" u="1"/>
        <s v="SITES1204736" u="1"/>
        <s v="SITES1204740" u="1"/>
        <s v="SITES1204750" u="1"/>
        <s v="SITES1204751" u="1"/>
        <s v="SITES1204752" u="1"/>
        <s v="SITES1204753" u="1"/>
        <s v="SITES1204755" u="1"/>
        <s v="SITES1204765" u="1"/>
        <s v="SITES1204766" u="1"/>
        <s v="SITES1204767" u="1"/>
        <s v="SITES1204778" u="1"/>
        <s v="SITES1204785" u="1"/>
        <s v="SITES1204791" u="1"/>
        <s v="SITES1204793" u="1"/>
        <s v="SITES1204794" u="1"/>
        <s v="SITES1204801" u="1"/>
        <s v="SITES1204804" u="1"/>
        <s v="SITES1204808" u="1"/>
        <s v="SITES1204812" u="1"/>
        <s v="SITES1204813" u="1"/>
        <s v="SITES1204815" u="1"/>
        <s v="SITES1204817" u="1"/>
        <s v="SITES1204818" u="1"/>
        <s v="SITES1204826" u="1"/>
        <s v="SITES1204828" u="1"/>
        <s v="SITES1204835" u="1"/>
        <s v="SITES1204838" u="1"/>
        <s v="SITES1204839" u="1"/>
        <s v="SITES1204842" u="1"/>
        <s v="SITES1204843" u="1"/>
        <s v="SITES1204845" u="1"/>
        <s v="SITES1204847" u="1"/>
        <s v="SITES1204856" u="1"/>
        <s v="SITES1204857" u="1"/>
        <s v="SITES1204858" u="1"/>
        <s v="SITES1204865" u="1"/>
        <s v="SITES1204867" u="1"/>
        <s v="SITES1204868" u="1"/>
        <s v="SITES1204873" u="1"/>
        <s v="SITES1204882" u="1"/>
        <s v="SITES1204885" u="1"/>
        <s v="SITES1204887" u="1"/>
        <s v="SITES1204898" u="1"/>
        <s v="SITES1204900" u="1"/>
        <s v="SITES1204915" u="1"/>
        <s v="SITES1204917" u="1"/>
        <s v="SITES1204919" u="1"/>
        <s v="SITES1204925" u="1"/>
        <s v="SITES1204927" u="1"/>
        <s v="SITES1204929" u="1"/>
        <s v="SITES1204932" u="1"/>
        <s v="SITES1204936" u="1"/>
        <s v="SITES1204937" u="1"/>
        <s v="SITES1204938" u="1"/>
        <s v="SITES1204939" u="1"/>
        <s v="SITES1204943" u="1"/>
        <s v="SITES1204945" u="1"/>
        <s v="SITES1204951" u="1"/>
        <s v="SITES1204956" u="1"/>
        <s v="SITES1204962" u="1"/>
        <s v="SITES1204972" u="1"/>
        <s v="SITES1204974" u="1"/>
        <s v="SITES1204975" u="1"/>
        <s v="SITES1204978" u="1"/>
        <s v="SITES1204980" u="1"/>
        <s v="SITES1204984" u="1"/>
        <s v="SITES1204986" u="1"/>
        <s v="SITES1204994" u="1"/>
        <s v="SITES1204996" u="1"/>
        <s v="SITES1205011" u="1"/>
        <s v="SITES1205019" u="1"/>
        <s v="SITES1205022" u="1"/>
        <s v="SITES1205023" u="1"/>
        <s v="SITES1205025" u="1"/>
        <s v="SITES1205032" u="1"/>
        <s v="SITES1205033" u="1"/>
        <s v="SITES1205035" u="1"/>
        <s v="SITES1205037" u="1"/>
        <s v="SITES1205049" u="1"/>
        <s v="SITES1205050" u="1"/>
        <s v="SITES1205051" u="1"/>
        <s v="SITES1205053" u="1"/>
        <s v="SITES1205059" u="1"/>
        <s v="SITES1205062" u="1"/>
        <s v="SITES1205067" u="1"/>
        <s v="SITES1205076" u="1"/>
        <s v="SITES1205077" u="1"/>
        <s v="SITES1205079" u="1"/>
        <s v="SITES1205080" u="1"/>
        <s v="SITES1205088" u="1"/>
        <s v="SITES1205091" u="1"/>
        <s v="SITES1205095" u="1"/>
        <s v="SITES1205096" u="1"/>
        <s v="SITES1205097" u="1"/>
        <s v="SITES1205100" u="1"/>
        <s v="SITES1205103" u="1"/>
        <s v="SITES1205105" u="1"/>
        <s v="SITES1205107" u="1"/>
        <s v="SITES1205108" u="1"/>
        <s v="SITES1205110" u="1"/>
        <s v="SITES1205111" u="1"/>
        <s v="SITES1205113" u="1"/>
        <s v="SITES1205115" u="1"/>
        <s v="SITES1205116" u="1"/>
        <s v="SITES1205120" u="1"/>
        <s v="SITES1205122" u="1"/>
        <s v="SITES1205127" u="1"/>
        <s v="SITES1205146" u="1"/>
        <s v="SITES1205148" u="1"/>
        <s v="SITES1205151" u="1"/>
        <s v="SITES1205154" u="1"/>
        <s v="SITES1205157" u="1"/>
        <s v="SITES1205159" u="1"/>
        <s v="SITES1205160" u="1"/>
        <s v="SITES1205165" u="1"/>
        <s v="SITES1205173" u="1"/>
        <s v="SITES1205175" u="1"/>
        <s v="SITES1205176" u="1"/>
        <s v="SITES1205178" u="1"/>
        <s v="SITES1205185" u="1"/>
        <s v="SITES1205191" u="1"/>
        <s v="SITES1205192" u="1"/>
        <s v="SITES1205194" u="1"/>
        <s v="SITES1205195" u="1"/>
        <s v="SITES1205198" u="1"/>
        <s v="SITES1205202" u="1"/>
        <s v="SITES1205205" u="1"/>
        <s v="SITES1205208" u="1"/>
        <s v="SITES1205209" u="1"/>
        <s v="SITES1205210" u="1"/>
        <s v="SITES1205212" u="1"/>
        <s v="SITES1205214" u="1"/>
        <s v="SITES1205216" u="1"/>
        <s v="SITES1205217" u="1"/>
        <s v="SITES1205221" u="1"/>
        <s v="SITES1205223" u="1"/>
        <s v="SITES1205224" u="1"/>
        <s v="SITES1205225" u="1"/>
        <s v="SITES1205226" u="1"/>
        <s v="SITES1205229" u="1"/>
        <s v="SITES1205231" u="1"/>
        <s v="SITES1205233" u="1"/>
        <s v="SITES1205236" u="1"/>
        <s v="SITES1205241" u="1"/>
        <s v="SITES1205248" u="1"/>
        <s v="SITES1205256" u="1"/>
        <s v="SITES1205257" u="1"/>
        <s v="SITES1205259" u="1"/>
        <s v="SITES1205263" u="1"/>
        <s v="SITES1205270" u="1"/>
        <s v="SITES1205271" u="1"/>
        <s v="SITES1205273" u="1"/>
        <s v="SITES1205282" u="1"/>
        <s v="SITES1205286" u="1"/>
        <s v="SITES1205290" u="1"/>
        <s v="SITES1205291" u="1"/>
        <s v="SITES1205295" u="1"/>
        <s v="SITES1205298" u="1"/>
        <s v="SITES1205302" u="1"/>
        <s v="SITES1205305" u="1"/>
        <s v="SITES1205307" u="1"/>
        <s v="SITES1205312" u="1"/>
        <s v="SITES1205314" u="1"/>
        <s v="SITES1205315" u="1"/>
        <s v="SITES1205317" u="1"/>
        <s v="SITES1205319" u="1"/>
        <s v="SITES1205321" u="1"/>
        <s v="SITES1205324" u="1"/>
        <s v="SITES1205328" u="1"/>
        <s v="SITES1205329" u="1"/>
        <s v="SITES1205330" u="1"/>
        <s v="SITES1205331" u="1"/>
        <s v="SITES1205334" u="1"/>
        <s v="SITES1205336" u="1"/>
        <s v="SITES1205341" u="1"/>
        <s v="SITES1208432" u="1"/>
        <s v="SITES1208433" u="1"/>
        <s v="SITES1208435" u="1"/>
        <s v="SITES1208436" u="1"/>
        <s v="SITES1208442" u="1"/>
        <s v="SITES1208447" u="1"/>
        <s v="SITES1208448" u="1"/>
        <s v="SITES1208458" u="1"/>
        <s v="SITES1208461" u="1"/>
        <s v="SITES1208466" u="1"/>
        <s v="SITES1208467" u="1"/>
        <s v="SITES1208476" u="1"/>
        <s v="SITES1208479" u="1"/>
        <s v="SITES1208480" u="1"/>
        <s v="SITES1208539" u="1"/>
        <s v="SITES1209092" u="1"/>
        <s v="SITES1209093" u="1"/>
        <s v="SITES1209225" u="1"/>
        <s v="SITES1209227" u="1"/>
        <s v="SITES1209230" u="1"/>
        <s v="SITES1209231" u="1"/>
        <s v="SITES1209232" u="1"/>
        <s v="SITES1209242" u="1"/>
        <s v="SITES1209250" u="1"/>
        <s v="SITES1209251" u="1"/>
        <s v="SITES1209255" u="1"/>
        <s v="SITES1209258" u="1"/>
        <s v="SITES1209260" u="1"/>
        <s v="SITES1209268" u="1"/>
        <s v="SITES1209270" u="1"/>
        <s v="SITES1209272" u="1"/>
        <s v="SITES1209275" u="1"/>
        <s v="SITES1209276" u="1"/>
        <s v="SITES1209277" u="1"/>
        <s v="SITES1209282" u="1"/>
        <s v="SITES1209287" u="1"/>
        <s v="SITES1209290" u="1"/>
        <s v="SITES1209293" u="1"/>
        <s v="SITES1209296" u="1"/>
        <s v="SITES1209303" u="1"/>
        <s v="SITES1209305" u="1"/>
        <s v="SITES1209308" u="1"/>
        <s v="SITES1209311" u="1"/>
        <s v="SITES1209312" u="1"/>
        <s v="SITES1209315" u="1"/>
        <s v="SITES1209316" u="1"/>
        <s v="SITES1209319" u="1"/>
        <s v="SITES1209324" u="1"/>
        <s v="SITES1209326" u="1"/>
        <s v="SITES1209329" u="1"/>
        <s v="SITES1209331" u="1"/>
        <s v="SITES1209334" u="1"/>
        <s v="SITES1209338" u="1"/>
        <s v="SITES1209344" u="1"/>
        <s v="SITES1209353" u="1"/>
        <s v="SITES1209356" u="1"/>
        <s v="SITES1209357" u="1"/>
        <s v="SITES1209361" u="1"/>
        <s v="SITES1209363" u="1"/>
        <s v="SITES1209368" u="1"/>
        <s v="SITES1209369" u="1"/>
        <s v="SITES1209379" u="1"/>
        <s v="SITES1209383" u="1"/>
        <s v="SITES1209385" u="1"/>
        <s v="SITES1209386" u="1"/>
        <s v="SITES1209391" u="1"/>
        <s v="SITES1209392" u="1"/>
        <s v="SITES1209533" u="1"/>
        <s v="SITES1209538" u="1"/>
        <s v="SITES1209539" u="1"/>
        <s v="SITES1209553" u="1"/>
        <s v="SITES1209557" u="1"/>
        <s v="SITES1209558" u="1"/>
        <s v="SITES1209559" u="1"/>
        <s v="SITES1209560" u="1"/>
        <s v="SITES1209563" u="1"/>
        <s v="SITES1209566" u="1"/>
        <s v="SITES1209568" u="1"/>
        <s v="SITES1209569" u="1"/>
        <s v="SITES1209571" u="1"/>
        <s v="SITES1209574" u="1"/>
        <s v="SITES1209575" u="1"/>
        <s v="SITES1209576" u="1"/>
        <s v="SITES1209577" u="1"/>
        <s v="SITES1209578" u="1"/>
        <s v="Sites1204363" u="1"/>
        <s v="Sites1204364" u="1"/>
        <s v="COMP1065059" u="1"/>
        <s v="COMP1065061" u="1"/>
        <s v="COMP1065063" u="1"/>
        <s v="COMP1066323" u="1"/>
        <s v="COMP1066330" u="1"/>
        <s v="COMP1066400" u="1"/>
        <s v="COMP1066403" u="1"/>
        <s v="COMP1066420" u="1"/>
        <s v="COMP1066425" u="1"/>
        <s v="COMP1073015" u="1"/>
        <s v="COMP1073017" u="1"/>
        <s v="COMP1073025" u="1"/>
        <s v="COMP1073084" u="1"/>
        <s v="COMP1073084-T2" u="1"/>
        <s v="COMP1073087" u="1"/>
        <s v="COMP1073092" u="1"/>
        <s v="COMP1073106" u="1"/>
        <s v="COMP1073107" u="1"/>
        <s v="COMP1073111" u="1"/>
        <s v="COMP1073116" u="1"/>
        <s v="COMP1073120" u="1"/>
        <s v="COMP1073125" u="1"/>
        <s v="COMP1073214" u="1"/>
        <s v="COMP1073226" u="1"/>
        <s v="COMP1073233" u="1"/>
        <s v="COMP1073234" u="1"/>
        <s v="COMP1073235" u="1"/>
        <s v="COMP1073249" u="1"/>
        <s v="COMP1073260" u="1"/>
        <s v="COMP1073268" u="1"/>
        <s v="COMP1073276" u="1"/>
        <s v="COMP1073278" u="1"/>
        <s v="COMP1073311" u="1"/>
        <s v="COMP1073317" u="1"/>
        <s v="COMP1073318" u="1"/>
        <s v="COMP1073327" u="1"/>
        <s v="COMP1073330" u="1"/>
        <s v="COMP1073331" u="1"/>
        <s v="COMP1073332" u="1"/>
        <s v="COMP1073403" u="1"/>
        <s v="COMP1073410" u="1"/>
        <s v="COMP1073411" u="1"/>
        <s v="COMP1073413" u="1"/>
        <s v="COMP1073414" u="1"/>
        <s v="COMP1073437" u="1"/>
        <s v="COMP1073506" u="1"/>
        <s v="COMP1073507" u="1"/>
        <s v="COMP1073529" u="1"/>
        <s v="COMP1073555" u="1"/>
        <s v="COMP1073565" u="1"/>
        <s v="COMP1073569" u="1"/>
        <s v="COMP1073571" u="1"/>
        <s v="COMP1073572" u="1"/>
        <s v="COMP1073599" u="1"/>
        <s v="COMP1073600" u="1"/>
        <s v="COMP1073610" u="1"/>
        <s v="COMP1073612" u="1"/>
        <s v="COMP1073659" u="1"/>
        <s v="COMP1073668" u="1"/>
        <s v="COMP1073681" u="1"/>
        <s v="COMP1073701" u="1"/>
        <s v="COMP1073706" u="1"/>
        <s v="COMP1073710" u="1"/>
        <s v="COMP1073711" u="1"/>
        <s v="COMP1073713" u="1"/>
        <s v="COMP1080003" u="1"/>
        <s v="COMP1080012" u="1"/>
        <s v="COMP1080077" u="1"/>
        <s v="COMP1080081" u="1"/>
        <s v="COMP1080144" u="1"/>
        <s v="COMP1080148" u="1"/>
        <s v="COMP1080153" u="1"/>
        <s v="COMP1100776" u="1"/>
        <s v="COMP1100778" u="1"/>
        <s v="COMP1100796" u="1"/>
        <s v="COMP1100812" u="1"/>
        <s v="COMP1100818" u="1"/>
        <s v="COMP1100819" u="1"/>
        <s v="COMP1100820" u="1"/>
        <s v="COMP1110111" u="1"/>
        <s v="COMP1110112" u="1"/>
        <s v="COMP1110116" u="1"/>
        <s v="COMP1110122" u="1"/>
        <s v="COMP1110124" u="1"/>
        <s v="COMP1110125" u="1"/>
        <s v="COMP1110126" u="1"/>
        <s v="COMP1110191" u="1"/>
        <s v="COMP1110192" u="1"/>
        <s v="COMP1203909" u="1"/>
        <s v="COMP1203915" u="1"/>
        <s v="COMP1203917" u="1"/>
        <s v="COMP1203921" u="1"/>
        <s v="COMP1203922" u="1"/>
        <s v="COMP1203927" u="1"/>
        <s v="COMP1203931" u="1"/>
        <s v="COMP1203934" u="1"/>
        <s v="COMP1203937" u="1"/>
        <s v="COMP1203939" u="1"/>
        <s v="COMP1203940" u="1"/>
        <s v="COMP1203941" u="1"/>
        <s v="COMP1203946" u="1"/>
        <s v="COMP1203951" u="1"/>
        <s v="COMP1203953" u="1"/>
        <s v="COMP1203954" u="1"/>
        <s v="COMP1203962" u="1"/>
        <s v="COMP1203965" u="1"/>
        <s v="COMP1203968" u="1"/>
        <s v="COMP1203969" u="1"/>
        <s v="COMP1203976" u="1"/>
        <s v="COMP1203978" u="1"/>
        <s v="COMP1203979" u="1"/>
        <s v="COMP1203981" u="1"/>
        <s v="COMP1203982" u="1"/>
        <s v="COMP1203983" u="1"/>
        <s v="COMP1203995" u="1"/>
        <s v="COMP1203996" u="1"/>
        <s v="COMP1204007" u="1"/>
        <s v="COMP1204009" u="1"/>
        <s v="COMP1204011" u="1"/>
        <s v="COMP1204013" u="1"/>
        <s v="COMP1204024" u="1"/>
        <s v="COMP1204025" u="1"/>
        <s v="COMP1204028" u="1"/>
        <s v="COMP1204034" u="1"/>
        <s v="COMP1204037" u="1"/>
        <s v="COMP1204038" u="1"/>
        <s v="COMP1204039" u="1"/>
        <s v="COMP1204040" u="1"/>
        <s v="COMP1204041" u="1"/>
        <s v="COMP1204042" u="1"/>
        <s v="COMP1204043" u="1"/>
        <s v="COMP1204047" u="1"/>
        <s v="COMP1204048" u="1"/>
        <s v="COMP1204051" u="1"/>
        <s v="COMP1204052" u="1"/>
        <s v="COMP1204055" u="1"/>
        <s v="COMP1204061" u="1"/>
        <s v="COMP1204075" u="1"/>
        <s v="COMP1204117" u="1"/>
        <s v="COMP1204502" u="1"/>
        <s v="COMP1204504" u="1"/>
        <s v="COMP1204507" u="1"/>
        <s v="COMP1204509" u="1"/>
        <s v="COMP1204514" u="1"/>
        <s v="COMP1204515" u="1"/>
        <s v="COMP1204516" u="1"/>
        <s v="COMP1204521" u="1"/>
        <s v="COMP1204526" u="1"/>
        <s v="COMP1204528" u="1"/>
        <s v="COMP1204537" u="1"/>
        <s v="COMP1204541" u="1"/>
        <s v="COMP1204542" u="1"/>
        <s v="COMP1204546" u="1"/>
        <s v="COMP1204547" u="1"/>
        <s v="COMP1204554" u="1"/>
        <s v="COMP1204556" u="1"/>
        <s v="COMP1204560" u="1"/>
        <s v="COMP1204561" u="1"/>
        <s v="COMP1204563" u="1"/>
        <s v="COMP1204570" u="1"/>
        <s v="COMP1204586" u="1"/>
        <s v="COMP1204588" u="1"/>
        <s v="COMP1204589" u="1"/>
        <s v="COMP1204594" u="1"/>
        <s v="COMP1204597" u="1"/>
        <s v="COMP1204608" u="1"/>
        <s v="COMP1204609" u="1"/>
        <s v="COMP1204610" u="1"/>
        <s v="COMP1204611" u="1"/>
        <s v="COMP1204615" u="1"/>
        <s v="COMP1204625" u="1"/>
        <s v="COMP1204627" u="1"/>
        <s v="COMP1204633" u="1"/>
        <s v="COMP1204635" u="1"/>
        <s v="COMP1204636" u="1"/>
        <s v="COMP1204642" u="1"/>
        <s v="COMP1204645" u="1"/>
        <s v="COMP1204646" u="1"/>
        <s v="COMP1204648" u="1"/>
        <s v="COMP1204649" u="1"/>
        <s v="COMP1204650" u="1"/>
        <s v="COMP1204652" u="1"/>
        <s v="COMP1204655" u="1"/>
        <s v="COMP1204656" u="1"/>
        <s v="COMP1204658" u="1"/>
        <s v="COMP1204662" u="1"/>
        <s v="COMP1204663" u="1"/>
        <s v="COMP1204664" u="1"/>
        <s v="COMP1206931" u="1"/>
        <s v="COMP1206932" u="1"/>
        <s v="COMP1206934" u="1"/>
        <s v="COMP1206939" u="1"/>
        <s v="COMP1206940" u="1"/>
        <s v="COMP1206942" u="1"/>
        <s v="COMP1206947" u="1"/>
        <s v="COMP1208328" u="1"/>
        <s v="COMP1208331" u="1"/>
        <s v="COMP1208332" u="1"/>
        <s v="COMP1208333" u="1"/>
        <s v="COMP1208334" u="1"/>
        <s v="COMP1208336" u="1"/>
        <s v="COMP1208339" u="1"/>
        <s v="COMP1208423" u="1"/>
        <s v="COMP1208425" u="1"/>
        <s v="COMP1208428" u="1"/>
        <s v="COMP1208996" u="1"/>
        <s v="COMP1208997" u="1"/>
        <s v="COMP1208998" u="1"/>
        <s v="COMP1208999" u="1"/>
        <s v="COMP1209002" u="1"/>
        <s v="COMP1209003" u="1"/>
        <s v="COMP1209005" u="1"/>
        <s v="COMP1209008" u="1"/>
        <s v="COMP1209009" u="1"/>
        <s v="COMP1209011" u="1"/>
        <s v="COMP1209021" u="1"/>
        <s v="COMP1209023" u="1"/>
        <s v="COMP1209029" u="1"/>
        <s v="COMP1209035" u="1"/>
        <s v="COMP1209036" u="1"/>
        <s v="COMP1209047" u="1"/>
        <s v="COMP1209049" u="1"/>
        <s v="COMP1209053" u="1"/>
        <s v="COMP1209063" u="1"/>
        <s v="COMP1209064" u="1"/>
        <s v="COMP1209066" u="1"/>
        <s v="COMP1209074" u="1"/>
        <s v="COMP1209077" u="1"/>
        <s v="COMP1209078" u="1"/>
        <s v="COMP1209081" u="1"/>
        <s v="COMP1209082" u="1"/>
        <s v="COMP1209086" u="1"/>
        <s v="COMP1209088" u="1"/>
        <s v="COMP1209090" u="1"/>
        <s v="COMP1209097" u="1"/>
        <s v="COMP1209103" u="1"/>
        <s v="COMP1209106" u="1"/>
        <s v="COMP1209109" u="1"/>
        <s v="COMP1209110" u="1"/>
        <s v="COMP1209111" u="1"/>
        <s v="COMP1209114" u="1"/>
        <s v="COMP1209115" u="1"/>
        <s v="COMP1209116" u="1"/>
        <s v="COMP1209117" u="1"/>
        <s v="COMP1209119" u="1"/>
        <s v="COMP1209124" u="1"/>
        <s v="COMP1209127" u="1"/>
        <s v="COMP1209129" u="1"/>
        <s v="COMP1209137" u="1"/>
        <s v="COMP1209139" u="1"/>
        <s v="COMP1209142" u="1"/>
        <s v="COMP1209144" u="1"/>
        <s v="COMP1209148" u="1"/>
        <s v="CUST1207169" u="1"/>
        <s v="CUST1207173" u="1"/>
        <s v="CUST1207174" u="1"/>
        <s v="CUST1207176" u="1"/>
        <s v="CUST1207178" u="1"/>
        <s v="CUST1207182" u="1"/>
        <s v="CUST1207411" u="1"/>
        <s v="CYPSUP105003" u="1"/>
        <s v="CYPSUP105006" u="1"/>
        <s v="CYPSUP1063695" u="1"/>
        <s v="CYPSUP1063706" u="1"/>
        <s v="CYPSUP1063712" u="1"/>
        <s v="CYPSUP1063713" u="1"/>
        <s v="CYPSUP1063719" u="1"/>
        <s v="CYPSUP1063721" u="1"/>
        <s v="CYPSUP1063724" u="1"/>
        <s v="CYPSUP1063727" u="1"/>
        <s v="CYPSUP1063732" u="1"/>
        <s v="CYPSUP1063734" u="1"/>
        <s v="CYPSUP1063740" u="1"/>
        <s v="CYPSUP1063741" u="1"/>
        <s v="CYPSUP1063743" u="1"/>
        <s v="CYPSUP1063744" u="1"/>
        <s v="CYPSUP1063753" u="1"/>
        <s v="CYPSUP1063754" u="1"/>
        <s v="CYPSUP1063756" u="1"/>
        <s v="CYPSUP1063757" u="1"/>
        <s v="CYPSUP1063770" u="1"/>
        <s v="CYPSUP1063774" u="1"/>
        <s v="CYPSUP1063780" u="1"/>
        <s v="CYPSUP1073013" u="1"/>
        <s v="CYPSUP1073019" u="1"/>
        <s v="CYPSUP1073042" u="1"/>
        <s v="CYPSUP1073043" u="1"/>
        <s v="CYPSUP1073044" u="1"/>
        <s v="CYPSUP1073051" u="1"/>
        <s v="CYPSUP1073057" u="1"/>
        <s v="CYPSUP1073062" u="1"/>
        <s v="CYPSUP1073063" u="1"/>
        <s v="CYPSUP1073068" u="1"/>
        <s v="CYPSUP1073075" u="1"/>
        <s v="CYPSUP1073081" u="1"/>
        <s v="CYPSUP1073092" u="1"/>
        <s v="CYPSUP1073110" u="1"/>
        <s v="CYPSUP1073127" u="1"/>
        <s v="CYPSUP1073132" u="1"/>
        <s v="CYPSUP1073137" u="1"/>
        <s v="CYPSUP1073156" u="1"/>
        <s v="CYPSUP1073172" u="1"/>
        <s v="CYPSUP1073173" u="1"/>
        <s v="CYPSUP1073176" u="1"/>
        <s v="CYPSUP1073179" u="1"/>
        <s v="CYPSUP1073180" u="1"/>
        <s v="CYPSUP1073186" u="1"/>
        <s v="CYPSUP1073188" u="1"/>
        <s v="CYPSUP1073192" u="1"/>
        <s v="CYPSUP1073198" u="1"/>
        <s v="CYPSUP1073201" u="1"/>
        <s v="CYPSUP1073204" u="1"/>
        <s v="CYPSUP1073217" u="1"/>
        <s v="CYPSUP1073223" u="1"/>
        <s v="CYPSUP1073225" u="1"/>
        <s v="CYPSUP1073231" u="1"/>
        <s v="CYPSUP1073234" u="1"/>
        <s v="CYPSUP1073239" u="1"/>
        <s v="CYPSUP1073243" u="1"/>
        <s v="CYPSUP1073247" u="1"/>
        <s v="CYPSUP1073249" u="1"/>
        <s v="CYPSUP1073250" u="1"/>
        <s v="CYPSUP1073251" u="1"/>
        <s v="CYPSUP1073253" u="1"/>
        <s v="CYPSUP1073279" u="1"/>
        <s v="CYPSUP1073287" u="1"/>
        <s v="CYPSUP1073289" u="1"/>
        <s v="CYPSUP1073290" u="1"/>
        <s v="CYPSUP1073291" u="1"/>
        <s v="CYPSUP1073292" u="1"/>
        <s v="CYPSUP1073294" u="1"/>
        <s v="CYPSUP1073295" u="1"/>
        <s v="CYPSUP1074005" u="1"/>
        <s v="CYPSUP1074023" u="1"/>
        <s v="CYPSUP1080001" u="1"/>
        <s v="CYPSUP1080017" u="1"/>
        <s v="CYPSUP1080018" u="1"/>
        <s v="CYPSUP1100000" u="1"/>
        <s v="CYPSUP1100001" u="1"/>
        <s v="CYPSUP1100006" u="1"/>
        <s v="CYPSUP1100013" u="1"/>
        <s v="CYPSUP1100015" u="1"/>
        <s v="CYPSUP1100017" u="1"/>
        <s v="CYPSUP1100020" u="1"/>
        <s v="CYPSUP1100021" u="1"/>
        <s v="CYPSUP1100022" u="1"/>
        <s v="CYPSUP1100026" u="1"/>
        <s v="CYPSUP1100035" u="1"/>
        <s v="CYPSUP1100048" u="1"/>
        <s v="CYPSUP1100057" u="1"/>
        <s v="CYPSUP1100064" u="1"/>
        <s v="CYPSUP1100066" u="1"/>
        <s v="CYPSUP1100070" u="1"/>
        <s v="CYPSUP1100074" u="1"/>
        <s v="CYPSUP1100075" u="1"/>
        <s v="CYPSUP1100076" u="1"/>
        <s v="CYPSUP1203411" u="1"/>
        <s v="CYPSUP1203415" u="1"/>
        <s v="CYPSUP1203419" u="1"/>
        <s v="CYPSUP1203430" u="1"/>
        <s v="CYPSUP1203432" u="1"/>
        <s v="CYPSUP1203443" u="1"/>
        <s v="CYPSUP1203444" u="1"/>
        <s v="CYPSUP1203449" u="1"/>
        <s v="CYPSUP1203450" u="1"/>
        <s v="CYPSUP1203451" u="1"/>
        <s v="CYPSUP1203459" u="1"/>
        <s v="CYPSUP1203540" u="1"/>
        <s v="CYPSUP1203541" u="1"/>
        <s v="CYPSUP1203604" u="1"/>
        <s v="CYPSUP1203605" u="1"/>
        <s v="CYPSUP1203608" u="1"/>
        <s v="CYPSUP1203611" u="1"/>
        <s v="CYPSUP1203612" u="1"/>
        <s v="CYPSUP1203615" u="1"/>
        <s v="CYPSUP1203616" u="1"/>
        <s v="CYPSUP1203617" u="1"/>
        <s v="CYPSUP120511" u="1"/>
        <s v="CYPSUP120516" u="1"/>
        <s v="CYPSUP120519" u="1"/>
        <s v="CYPSUP120521" u="1"/>
        <s v="CYPSUP120522" u="1"/>
        <s v="CYPSUP1206021" u="1"/>
        <s v="CYPSUP1206025" u="1"/>
        <s v="CYPSUP1206026" u="1"/>
        <s v="CYPSUP1206927" u="1"/>
        <s v="CYPSUP1206929" u="1"/>
        <s v="CYPSUP1206941" u="1"/>
        <s v="CYPSUP1206951" u="1"/>
        <s v="CYPSUP1206952" u="1"/>
        <s v="CYPSUP1206953" u="1"/>
        <s v="CYPSUP1206956" u="1"/>
        <s v="CYPSUP1206957" u="1"/>
        <s v="CYPSUP1206959" u="1"/>
        <s v="CYPSUP1206960" u="1"/>
        <s v="CYPSUP1206961" u="1"/>
        <s v="CYPSUP1206962" u="1"/>
        <s v="CYPSUP1206966" u="1"/>
        <s v="CYPSUP1206967" u="1"/>
        <s v="CYPSUP1206973" u="1"/>
        <s v="CYPSUP1206977" u="1"/>
        <s v="CYPSUP1206979" u="1"/>
        <s v="CYPSUP1206981" u="1"/>
        <s v="CYPSUP1206987" u="1"/>
        <s v="CYPSUP1206989" u="1"/>
        <s v="CYPSUP1206990" u="1"/>
        <s v="CYPSUP1206992" u="1"/>
        <s v="CYPSUP1207079" u="1"/>
        <s v="CYPSUP1207081" u="1"/>
        <s v="CYPSUP1207087" u="1"/>
        <s v="CYPSUP1207088" u="1"/>
        <s v="CYPSUP1207092" u="1"/>
        <s v="CYPSUP1207093" u="1"/>
        <s v="CYPSUP1207100" u="1"/>
        <s v="CYPSUP1207102" u="1"/>
        <s v="CYPSUP1207103" u="1"/>
        <s v="CYPSUP1207105" u="1"/>
        <s v="CYPSUP1207125" u="1"/>
        <s v="CYPSUP1207126" u="1"/>
        <s v="CYPSUP1207128" u="1"/>
        <s v="CYPSUP1207130" u="1"/>
        <s v="CYPSUP1207131" u="1"/>
        <s v="CYPSUP1207143" u="1"/>
        <s v="CYPSUP1207152" u="1"/>
        <s v="CYPSUP1207489" u="1"/>
        <s v="CYPSUP1207493" u="1"/>
        <s v="CYPSUP1207680" u="1"/>
        <s v="CYPSUP1207683" u="1"/>
        <s v="CYPSUP1208376" u="1"/>
        <s v="CYPSUP1208380" u="1"/>
        <s v="CYPSUP1208381" u="1"/>
        <s v="CYPSUP1208382" u="1"/>
        <s v="CYPSUP1208383" u="1"/>
        <s v="CYPSUP1208385" u="1"/>
        <s v="CYPSUP1208387" u="1"/>
        <s v="CYPSUP1208389" u="1"/>
        <s v="CYPSUP1208395" u="1"/>
        <s v="CYPSUP1208399" u="1"/>
        <s v="CYPSUP1208401" u="1"/>
        <s v="CYPSUP1209171" u="1"/>
        <s v="CYPSUP1209172" u="1"/>
        <s v="CYPSUP1209174" u="1"/>
        <s v="CYPSUP1209179" u="1"/>
        <s v="CYPSUP1209181" u="1"/>
        <s v="CYPSUP1209187" u="1"/>
        <s v="CYPSUP1209195" u="1"/>
        <s v="CYPSUP1209197" u="1"/>
        <s v="CYPSUP1209204" u="1"/>
        <s v="CYPSUP1209211" u="1"/>
        <s v="CYPSUP1209212" u="1"/>
        <s v="CYPSUP1209214" u="1"/>
        <s v="CYPSUP1209221" u="1"/>
        <s v="CYPSUP1209222" u="1"/>
        <s v="CYPSUP1209223" u="1"/>
        <s v="CYPSUP1209236" u="1"/>
        <s v="CYPSUP1209237" u="1"/>
        <s v="CYPSUP1209241" u="1"/>
        <s v="CYPSUP1209247" u="1"/>
        <s v="CYPSUP1209253" u="1"/>
        <s v="CYPSUP1209256" u="1"/>
        <s v="CYPSUP1209259" u="1"/>
        <s v="CYPSUP1209260" u="1"/>
        <s v="CYPSUP1209267" u="1"/>
        <s v="CYPSUP1209268" u="1"/>
        <s v="CYPSUP1209271" u="1"/>
        <s v="CYPSUP1209272" u="1"/>
        <s v="CYPSUP1209276" u="1"/>
        <s v="CYPSUP1209279" u="1"/>
        <s v="CYPSUP1209281" u="1"/>
        <s v="CYPSUP1209282" u="1"/>
        <s v="CYPSUP1209286" u="1"/>
        <s v="CYPSUP1209288" u="1"/>
        <s v="CYPSUP1209293" u="1"/>
        <s v="CYPSUP1209295" u="1"/>
        <s v="CYPSUP1209299" u="1"/>
        <s v="CYPSUP1209300" u="1"/>
        <s v="CYPSUP1209303" u="1"/>
        <s v="CYPSUP1209306" u="1"/>
        <s v="CYPSUP1209308" u="1"/>
        <s v="CYPSUP1209309" u="1"/>
        <s v="CYPSUP1209310" u="1"/>
        <s v="CYPSUP1209312" u="1"/>
        <s v="CYPSUP1209313" u="1"/>
        <s v="CYPSUP1209316" u="1"/>
        <s v="CYPSUP1209317" u="1"/>
        <s v="CYPSUP1209318" u="1"/>
        <s v="CYPSUP1209319" u="1"/>
        <s v="CYPSUP1209322" u="1"/>
        <s v="CYPSUP1209330" u="1"/>
        <s v="CYPSUP1209332" u="1"/>
        <s v="CYPSUP1209333" u="1"/>
        <s v="CYPSUP1209336" u="1"/>
        <s v="CYPSUP1209337" u="1"/>
        <s v="CYPSUP1209339" u="1"/>
        <s v="CYPSUP1209344" u="1"/>
        <s v="CYPSUP1209349" u="1"/>
        <s v="CYPSUP1209354" u="1"/>
        <s v="CYPSUP1209356" u="1"/>
        <s v="CYPSUP1209361" u="1"/>
        <s v="CYPSUP1209365" u="1"/>
        <s v="CYPSUP1209366" u="1"/>
        <s v="CYPSUP1209367" u="1"/>
        <s v="CYPSUP1209371" u="1"/>
        <s v="CYPSUP1209374" u="1"/>
        <s v="CYPSUP1209378" u="1"/>
        <s v="CYPSUP1210181" u="1"/>
        <s v="PAC1010660" u="1"/>
        <s v="PAC1010736" u="1"/>
        <s v="PAC1049656" u="1"/>
        <s v="PAC1050295" u="1"/>
        <s v="PAC1051194" u="1"/>
        <s v="PAC1051397" u="1"/>
        <s v="PAC1052113" u="1"/>
        <s v="PAC1052120" u="1"/>
        <s v="PAC1052121" u="1"/>
        <s v="PAC1052123" u="1"/>
        <s v="PAC1052536" u="1"/>
        <s v="PAC1052549" u="1"/>
        <s v="PAC1052582" u="1"/>
        <s v="PAC1052584" u="1"/>
        <s v="PAC2698" u="1"/>
        <s v="PAC2753" u="1"/>
        <s v="PAC2786" u="1"/>
        <s v="PAC2829" u="1"/>
        <s v="PAC2830" u="1"/>
        <s v="PAC3139" u="1"/>
        <s v="PAC3318" u="1"/>
        <s v="PAC3339" u="1"/>
        <s v="PAC3458" u="1"/>
        <s v="PAC3472" u="1"/>
        <s v="PAC3541" u="1"/>
        <s v="PAC3570" u="1"/>
        <s v="PAC3718" u="1"/>
        <s v="PAC3721" u="1"/>
        <s v="PAC3765" u="1"/>
        <s v="PAC3813" u="1"/>
        <s v="PAC3854" u="1"/>
        <s v="PAC3855" u="1"/>
        <s v="PIPE1080000" u="1"/>
        <s v="PIPE1080112" u="1"/>
        <s v="PIPE1080113" u="1"/>
        <s v="PIPE1080114" u="1"/>
        <s v="PIPE1080118" u="1"/>
        <s v="PIPE1080120" u="1"/>
        <s v="PIPE1080122" u="1"/>
        <s v="PIPE1080123" u="1"/>
        <s v="PIPE1080129" u="1"/>
        <s v="PIPE1080143" u="1"/>
        <s v="PIPE1080147" u="1"/>
        <s v="PIPE1080149" u="1"/>
        <s v="PIPE1080150" u="1"/>
        <s v="PIPE1080151" u="1"/>
        <s v="PIPE1080156" u="1"/>
        <s v="PIPE1080159" u="1"/>
        <s v="PIPE1080160" u="1"/>
        <s v="PIPE1080163" u="1"/>
        <s v="PIPE1080166" u="1"/>
        <s v="PIPE1080167" u="1"/>
        <s v="PIPE1080170" u="1"/>
        <s v="PIPE1080171" u="1"/>
        <s v="PIPE1080179" u="1"/>
        <s v="PIPE1080184" u="1"/>
        <s v="PIPE1080188" u="1"/>
        <s v="PIPE1080189" u="1"/>
        <s v="PIPE1080199" u="1"/>
        <s v="PIPE1080202" u="1"/>
        <s v="PIPE1080219" u="1"/>
        <s v="PIPE1080219-3" u="1"/>
        <s v="PIPE1080219-5" u="1"/>
        <s v="PIPE1080224" u="1"/>
        <s v="PIPE1080227" u="1"/>
        <s v="PIPE1080231" u="1"/>
        <s v="PIPE1080236" u="1"/>
        <s v="PIPE1080237" u="1"/>
        <s v="PIPE1080238" u="1"/>
        <s v="PIPE1080243" u="1"/>
        <s v="PIPE1080247" u="1"/>
        <s v="PIPE1080250" u="1"/>
        <s v="PIPE1080256" u="1"/>
        <s v="PIPE1080258" u="1"/>
        <s v="PIPE1080259" u="1"/>
        <s v="PIPE1080263" u="1"/>
        <s v="PIPE1080265" u="1"/>
        <s v="PIPE1080267" u="1"/>
        <s v="PIPE1080271" u="1"/>
        <s v="PIPE1080272" u="1"/>
        <s v="PIPE1080279" u="1"/>
        <s v="PIPE1080285" u="1"/>
        <s v="PIPE1080286" u="1"/>
        <s v="PIPE1080290" u="1"/>
        <s v="PIPE1080296" u="1"/>
        <s v="PIPE1080297" u="1"/>
        <s v="PIPE1080298" u="1"/>
        <s v="PIPE1080300" u="1"/>
        <s v="PIPE1080305" u="1"/>
        <s v="PIPE1080306" u="1"/>
        <s v="PIPE1080312" u="1"/>
        <s v="PIPE1080314" u="1"/>
        <s v="PIPE1080316" u="1"/>
        <s v="PIPE1080324" u="1"/>
        <s v="PIPE1080325" u="1"/>
        <s v="PIPE1080328" u="1"/>
        <s v="PIPE1080333" u="1"/>
        <s v="PIPE1080334" u="1"/>
        <s v="PIPE1080335" u="1"/>
        <s v="PIPE1080342" u="1"/>
        <s v="PIPE1080346" u="1"/>
        <s v="PIPE1080347" u="1"/>
        <s v="PIPE1080348" u="1"/>
        <s v="PIPE1080350" u="1"/>
        <s v="PIPE1080351" u="1"/>
        <s v="PIPE1080357" u="1"/>
        <s v="PIPE1080360" u="1"/>
        <s v="PIPE1080362" u="1"/>
        <s v="PIPE1080363" u="1"/>
        <s v="PIPE1080368" u="1"/>
        <s v="PIPE1080373" u="1"/>
        <s v="PIPE1080375" u="1"/>
        <s v="PIPE1080376" u="1"/>
        <s v="PIPE1080377" u="1"/>
        <s v="PIPE1080386" u="1"/>
        <s v="PIPE1080389" u="1"/>
        <s v="PIPE1080396" u="1"/>
        <s v="PIPE1080399" u="1"/>
        <s v="PIPE1080403" u="1"/>
        <s v="PIPE1080413" u="1"/>
        <s v="PIPE1080414" u="1"/>
        <s v="PIPE1080417" u="1"/>
        <s v="PIPE1080421" u="1"/>
        <s v="PIPE1080426" u="1"/>
        <s v="PIPE1080436" u="1"/>
        <s v="PIPE1080438" u="1"/>
        <s v="PIPE1080439" u="1"/>
        <s v="PIPE1080440" u="1"/>
        <s v="PIPE1080442" u="1"/>
        <s v="PIPE1080443" u="1"/>
        <s v="PIPE1080449" u="1"/>
        <s v="PIPE1080451" u="1"/>
        <s v="PIPE1080452" u="1"/>
        <s v="PIPE1080455" u="1"/>
        <s v="PIPE1080460" u="1"/>
        <s v="PIPE1080465" u="1"/>
        <s v="PIPE1080466" u="1"/>
        <s v="PIPE1080467" u="1"/>
        <s v="PIPE1080468" u="1"/>
        <s v="PIPE1080474" u="1"/>
        <s v="PIPE1080476" u="1"/>
        <s v="PIPE1080479" u="1"/>
        <s v="PIPE1080483" u="1"/>
        <s v="PIPE1080485" u="1"/>
        <s v="PIPE1080486" u="1"/>
        <s v="PIPE1080488" u="1"/>
        <s v="PIPE1080490" u="1"/>
        <s v="PIPE1080493" u="1"/>
        <s v="PIPE1080494" u="1"/>
        <s v="PIPE1080498" u="1"/>
        <s v="PIPE1080499" u="1"/>
        <s v="PIPE1080502" u="1"/>
        <s v="PIPE1080507" u="1"/>
        <s v="PIPE1080512" u="1"/>
        <s v="PIPE1080513" u="1"/>
        <s v="PIPE1080514" u="1"/>
        <s v="PIPE1080515" u="1"/>
        <s v="PIPE1080519" u="1"/>
        <s v="PIPE1080522" u="1"/>
        <s v="PIPE1080523" u="1"/>
        <s v="PIPE1080525" u="1"/>
        <s v="PIPE1080527" u="1"/>
        <s v="PIPE1080534" u="1"/>
        <s v="PIPE1080535" u="1"/>
        <s v="PIPE1080536" u="1"/>
        <s v="PIPE1080553" u="1"/>
        <s v="PIPE1200247" u="1"/>
        <s v="PIPE1200266" u="1"/>
        <s v="PIPE1200270" u="1"/>
        <s v="PIPE1200284" u="1"/>
        <s v="PIPE1200321" u="1"/>
        <s v="PIPE1200322" u="1"/>
        <s v="PIPE1200325" u="1"/>
        <s v="PIPE1200329" u="1"/>
        <s v="PIPE1200331" u="1"/>
        <s v="PIPE1200344" u="1"/>
        <s v="PIPE1200347" u="1"/>
        <s v="PIPE1200370" u="1"/>
        <s v="PIPE1200371" u="1"/>
        <s v="PIPE1200382" u="1"/>
        <s v="PIPE1200383" u="1"/>
        <s v="PIPE1200389" u="1"/>
        <s v="PIPE1200447" u="1"/>
        <s v="PIPE1200453" u="1"/>
        <s v="PIPE1200457" u="1"/>
        <s v="PIPE1200481" u="1"/>
        <s v="PIPE1200493" u="1"/>
        <s v="PIPE1200521" u="1"/>
        <s v="PIPE1200523" u="1"/>
        <s v="PIPE1200540" u="1"/>
        <s v="PIPE1200541" u="1"/>
        <s v="PIPE1200568" u="1"/>
        <s v="PIPE1200575" u="1"/>
        <s v="PIPE1200576" u="1"/>
        <s v="PIPE1200578" u="1"/>
        <s v="PIPE1200588" u="1"/>
        <s v="PIPE1200589" u="1"/>
        <s v="PIPE1200592" u="1"/>
        <s v="PIPE1200599" u="1"/>
        <s v="PIPE1200600" u="1"/>
        <s v="PIPE1200611" u="1"/>
        <s v="PIPE1200613" u="1"/>
        <s v="PIPE1200615" u="1"/>
        <s v="PIPE1200654" u="1"/>
        <s v="PIPE1200655" u="1"/>
        <s v="PIPE1200661" u="1"/>
        <s v="PIPE1200664" u="1"/>
        <s v="PIPE1200668" u="1"/>
        <s v="PIPE1200682" u="1"/>
        <s v="PIPE1200688" u="1"/>
        <s v="PIPE1200690" u="1"/>
        <s v="PIPE1200703" u="1"/>
        <s v="PIPE1200704" u="1"/>
        <s v="PIPE1200714" u="1"/>
        <s v="PIPE1200803" u="1"/>
        <s v="PIPE1200816" u="1"/>
        <s v="PIPE1200818" u="1"/>
        <s v="PIPE1200822" u="1"/>
        <s v="PIPE1200844" u="1"/>
        <s v="PIPE1200846" u="1"/>
        <s v="PIPE1200854" u="1"/>
        <s v="PIPE1200856" u="1"/>
        <s v="PIPE1200866" u="1"/>
        <s v="PIPE1200872" u="1"/>
        <s v="PIPE1200873" u="1"/>
        <s v="PIPE1200886" u="1"/>
        <s v="PIPE1200889" u="1"/>
        <s v="PIPE1200892" u="1"/>
        <s v="PIPE1200900" u="1"/>
        <s v="PIPE1200916" u="1"/>
        <s v="PIPE1200918" u="1"/>
        <s v="PIPE1200920" u="1"/>
        <s v="PIPE1200922" u="1"/>
        <s v="PIPE1201003" u="1"/>
        <s v="PIPE1202001" u="1"/>
        <s v="PIPE1202004" u="1"/>
        <s v="PIPE1202005" u="1"/>
        <s v="PIPE1202007" u="1"/>
        <s v="PIPE1202010" u="1"/>
        <s v="PIPE1202012" u="1"/>
        <s v="PIPE1202014" u="1"/>
        <s v="PIPE1202020" u="1"/>
        <s v="PIPE1202023" u="1"/>
        <s v="PIPE1202026" u="1"/>
        <s v="PIPE1202027" u="1"/>
        <s v="PIPE1202034" u="1"/>
        <s v="PIPE1202039" u="1"/>
        <s v="PIPE1202040" u="1"/>
        <s v="PIPE1202044" u="1"/>
        <s v="PIPE1202055" u="1"/>
        <s v="PIPE1202056" u="1"/>
        <s v="PIPE1202059" u="1"/>
        <s v="PIPE1202060" u="1"/>
        <s v="PIPE1202061" u="1"/>
        <s v="PIPE1202062" u="1"/>
        <s v="PIPE1202067" u="1"/>
        <s v="PIPE1202068" u="1"/>
        <s v="PIPE1202070" u="1"/>
        <s v="PIPE1202072" u="1"/>
        <s v="PIPE1202074" u="1"/>
        <s v="PIPE1202075" u="1"/>
        <s v="PIPE1202077" u="1"/>
        <s v="PIPE1202078" u="1"/>
        <s v="PIPE1202080" u="1"/>
        <s v="PIPE1202081" u="1"/>
        <s v="PIPE1202084" u="1"/>
        <s v="PIPE1202104" u="1"/>
        <s v="PIPE1202105" u="1"/>
        <s v="PIPE1202106" u="1"/>
        <s v="PIPE1202109" u="1"/>
        <s v="PIPE1202110" u="1"/>
        <s v="PIPE1202113" u="1"/>
        <s v="PIPE1202114" u="1"/>
        <s v="PIPE1202120" u="1"/>
        <s v="PIPE1202121" u="1"/>
        <s v="PIPE1202122" u="1"/>
        <s v="PIPE1202128" u="1"/>
        <s v="PIPE1202129" u="1"/>
        <s v="PIPE1202132" u="1"/>
        <s v="PIPE1202190" u="1"/>
        <s v="PIPE1202192" u="1"/>
        <s v="PIPE1202217" u="1"/>
        <s v="PIPE1202220" u="1"/>
        <s v="PIPE1202226" u="1"/>
        <s v="PIPE1203154" u="1"/>
        <s v="PIPE1203155" u="1"/>
        <s v="PIPE1203170" u="1"/>
        <s v="PIPE1203171" u="1"/>
        <s v="PIPE1203174" u="1"/>
        <s v="PIPE1203401" u="1"/>
        <s v="PIPE1203405" u="1"/>
        <s v="PIPE1203407" u="1"/>
        <s v="PIPE1203410" u="1"/>
        <s v="PIPE1203411" u="1"/>
        <s v="PIPE1203412" u="1"/>
        <s v="PIPE1203413" u="1"/>
        <s v="PIPE1203414" u="1"/>
        <s v="PIPE1203416" u="1"/>
        <s v="PIPE1203421" u="1"/>
        <s v="PIPE1203422" u="1"/>
        <s v="PIPE1203423" u="1"/>
        <s v="PIPE1203431" u="1"/>
        <s v="PIPE1203432" u="1"/>
        <s v="PIPE1203434" u="1"/>
        <s v="PIPE1203435" u="1"/>
        <s v="PIPE1203437" u="1"/>
        <s v="PIPE1203448" u="1"/>
        <s v="PIPE1203449" u="1"/>
        <s v="PIPE1203453" u="1"/>
        <s v="PIPE1203456" u="1"/>
        <s v="PIPE1203459" u="1"/>
        <s v="PIPE1203472" u="1"/>
        <s v="PIPE1203477" u="1"/>
        <s v="PIPE1203478" u="1"/>
        <s v="PIPE1203482" u="1"/>
        <s v="PIPE1203484" u="1"/>
        <s v="PIPE1203489" u="1"/>
        <s v="PIPE1203990" u="1"/>
        <s v="PIPE1203991" u="1"/>
        <s v="PIPE1204004" u="1"/>
        <s v="PIPE1204017" u="1"/>
        <s v="PIPE1204019" u="1"/>
        <s v="PIPE1204021" u="1"/>
        <s v="PIPE1204027" u="1"/>
        <s v="PIPE1204033" u="1"/>
        <s v="PIPE1204045" u="1"/>
        <s v="PIPE1204052" u="1"/>
        <s v="PIPE1204053" u="1"/>
        <s v="PIPE1204054" u="1"/>
        <s v="PIPE1204055" u="1"/>
        <s v="PIPE1204061" u="1"/>
        <s v="PIPE1204063" u="1"/>
        <s v="PIPE1204065" u="1"/>
        <s v="PIPE1204066" u="1"/>
        <s v="PIPE1204078" u="1"/>
        <s v="PIPE1204079" u="1"/>
        <s v="PIPE1204086" u="1"/>
        <s v="PIPE1204087" u="1"/>
        <s v="PIPE1204088" u="1"/>
        <s v="PIPE1204093" u="1"/>
        <s v="PIPE1204115" u="1"/>
        <s v="PIPE1204117" u="1"/>
        <s v="PIPE1204129" u="1"/>
        <s v="PIPE1204197" u="1"/>
        <s v="PIPE1204207" u="1"/>
        <s v="PIPE1204214" u="1"/>
        <s v="PIPE1204225" u="1"/>
        <s v="PIPE1204229" u="1"/>
        <s v="PIPE1204230" u="1"/>
        <s v="PIPE1204233" u="1"/>
        <s v="PIPE1204234" u="1"/>
        <s v="PIPE1204237" u="1"/>
        <s v="PIPE1204239" u="1"/>
        <s v="PIPE1204240" u="1"/>
        <s v="PIPE1204243" u="1"/>
        <s v="PIPE1204290" u="1"/>
        <s v="PIPE1204292" u="1"/>
        <s v="PIPE1204294" u="1"/>
        <s v="PIPE1204298" u="1"/>
        <s v="PIPE1204301" u="1"/>
        <s v="PIPE1204302" u="1"/>
        <s v="PIPE1204303" u="1"/>
        <s v="PIPE1204310" u="1"/>
        <s v="PIPE1204311" u="1"/>
        <s v="PIPE1204312" u="1"/>
        <s v="PIPE1204314" u="1"/>
        <s v="PIPE1204315" u="1"/>
        <s v="PIPE1204318" u="1"/>
        <s v="PIPE1204319" u="1"/>
        <s v="PIPE1204322" u="1"/>
        <s v="PIPE1204352" u="1"/>
        <s v="PIPE1204354" u="1"/>
        <s v="PIPE1204355" u="1"/>
        <s v="PIPE1204357" u="1"/>
        <s v="PIPE1204361" u="1"/>
        <s v="PIPE1204406" u="1"/>
        <s v="PIPE1204448" u="1"/>
        <s v="PIPE1204649" u="1"/>
        <s v="PIPE1204653" u="1"/>
        <s v="PIPE1204657" u="1"/>
        <s v="PIPE1204660" u="1"/>
        <s v="PIPE1204663" u="1"/>
        <s v="PIPE1205099" u="1"/>
        <s v="PIPE1205100" u="1"/>
        <s v="PIPE1205101" u="1"/>
        <s v="PIPE1205102" u="1"/>
        <s v="PIPE1205103" u="1"/>
        <s v="PIPE1205109" u="1"/>
        <s v="PIPE1205111" u="1"/>
        <s v="PIPE1205112" u="1"/>
        <s v="PIPE1205113" u="1"/>
        <s v="PIPE1205116" u="1"/>
        <s v="PIPE1205120" u="1"/>
        <s v="PIPE1205122" u="1"/>
        <s v="PIPE1205123" u="1"/>
        <s v="PIPE1205124" u="1"/>
        <s v="PIPE1205128" u="1"/>
        <s v="PIPE1205133" u="1"/>
        <s v="PIPE1205135" u="1"/>
        <s v="PIPE1205140" u="1"/>
        <s v="PIPE1205141" u="1"/>
        <s v="PIPE1206923" u="1"/>
        <s v="PIPE1206925" u="1"/>
        <s v="PIPE1206930" u="1"/>
        <s v="PIPE1207320" u="1"/>
        <s v="PIPE1207322" u="1"/>
        <s v="PIPE1207328" u="1"/>
        <s v="PIPE1207337" u="1"/>
        <s v="PIPE1207340" u="1"/>
        <s v="PIPE1207342" u="1"/>
        <s v="PIPE1207350" u="1"/>
        <s v="PIPE1207352" u="1"/>
        <s v="PIPE1207353" u="1"/>
        <s v="PIPE1207355" u="1"/>
        <s v="PIPE1207357" u="1"/>
        <s v="PIPE1207362" u="1"/>
        <s v="PIPE1207396" u="1"/>
        <s v="PIPE1207397" u="1"/>
        <s v="PIPE1207399" u="1"/>
        <s v="PIPE1207408" u="1"/>
        <s v="PIPE1207411" u="1"/>
        <s v="PIPE1207413" u="1"/>
        <s v="PIPE1207415" u="1"/>
        <s v="PIPE1207416" u="1"/>
        <s v="PIPE1207420" u="1"/>
        <s v="PIPE1207428" u="1"/>
        <s v="PIPE1207430" u="1"/>
        <s v="PIPE1208333" u="1"/>
        <s v="PIPE1208335" u="1"/>
        <s v="PIPE1208336" u="1"/>
        <s v="PIPE1208426" u="1"/>
        <s v="PIPE1208535" u="1"/>
        <s v="PIPE1208598" u="1"/>
        <s v="PIPE1208600" u="1"/>
        <s v="PIPE1208602" u="1"/>
        <s v="PIPE1209149" u="1"/>
        <s v="PIPE1209152" u="1"/>
        <s v="PIPE1209153" u="1"/>
        <s v="PIPE1209154" u="1"/>
        <s v="PIPE1209155" u="1"/>
        <s v="PIPE1209156" u="1"/>
        <s v="PIPE1209163" u="1"/>
        <s v="PIPE1209164" u="1"/>
        <s v="PIPE1209168" u="1"/>
        <s v="PIPE1209171" u="1"/>
        <s v="PIPE1209869" u="1"/>
        <s v="PIPE1209872" u="1"/>
        <s v="PIPE1209873" u="1"/>
        <s v="PIPE1209875" u="1"/>
        <s v="PIPE1209883" u="1"/>
        <s v="PIPE1209887" u="1"/>
        <s v="PIPE1209889" u="1"/>
        <s v="PIPE1209900" u="1"/>
        <s v="PIPE1209901" u="1"/>
        <s v="PIPE1209906" u="1"/>
        <s v="PIPE1209907" u="1"/>
        <s v="PIPE1209909" u="1"/>
        <s v="PIPE1209910" u="1"/>
        <s v="PIPE1209911" u="1"/>
        <s v="PIPE1209914" u="1"/>
        <s v="PIPE1209916" u="1"/>
        <s v="PIPE1209917" u="1"/>
        <s v="PIPE1209920" u="1"/>
        <s v="PIPE1209922" u="1"/>
        <s v="PIPE1209929" u="1"/>
        <s v="PIPE1209930" u="1"/>
        <s v="PIPE1209931" u="1"/>
        <s v="PIPE1209932" u="1"/>
        <s v="PIPE1209940" u="1"/>
        <s v="PIPE1209945" u="1"/>
        <s v="PIPE1209951" u="1"/>
        <s v="PIPE1209957" u="1"/>
        <s v="PIPE1209966" u="1"/>
        <s v="PIPE1209974" u="1"/>
        <s v="PIPE1209975" u="1"/>
        <s v="PIPE1209979" u="1"/>
        <s v="PIPE1209981" u="1"/>
        <s v="PIPE1209983" u="1"/>
        <s v="PIPE1209985" u="1"/>
        <s v="PIPE1209989" u="1"/>
        <s v="PIPE1209993" u="1"/>
        <s v="PIPE1209994" u="1"/>
        <s v="PIPE1209995" u="1"/>
        <s v="PIPE1209998" u="1"/>
        <s v="PIPE1210002" u="1"/>
        <s v="PIPE1210004" u="1"/>
        <s v="PIPE1210009" u="1"/>
        <s v="PIPE1210011" u="1"/>
        <s v="PIPE1210020" u="1"/>
        <s v="PIPE1210021" u="1"/>
        <s v="PIPE1210023" u="1"/>
        <s v="PIPE1210024" u="1"/>
        <s v="PIPE1210028" u="1"/>
        <s v="PIPE1210034" u="1"/>
        <s v="PIPE1210036" u="1"/>
        <s v="PIPE1210038" u="1"/>
        <s v="PIPE1210191" u="1"/>
        <s v="PIPE2257" u="1"/>
        <s v="PIPE2266" u="1"/>
        <s v="PIPE2268" u="1"/>
        <s v="SA12130054" u="1"/>
        <s v="SA12130055" u="1"/>
        <s v="SA12130067" u="1"/>
        <s v="SA12130700" u="1"/>
        <s v="SA12131168" u="1"/>
        <s v="SA12131169" u="1"/>
        <s v="SA12131219" u="1"/>
        <s v="SA12131248" u="1"/>
        <s v="SA12131326" u="1"/>
        <s v="SITES1063324" u="1"/>
        <s v="SITES1063343" u="1"/>
        <s v="SITES1063459" u="1"/>
        <s v="SITES1063464" u="1"/>
        <s v="SITES1063472" u="1"/>
        <s v="SITES1063480" u="1"/>
        <s v="SITES1063481" u="1"/>
        <s v="SITES1063483" u="1"/>
        <s v="SITES1063503" u="1"/>
        <s v="SITES1063504" u="1"/>
        <s v="SITES1063508" u="1"/>
        <s v="SITES1063509" u="1"/>
        <s v="SITES1063529" u="1"/>
        <s v="SITES1063537" u="1"/>
        <s v="SITES1063566" u="1"/>
        <s v="SITES1063581" u="1"/>
        <s v="SITES1063583" u="1"/>
        <s v="SITES1063585" u="1"/>
        <s v="SITES1063586" u="1"/>
        <s v="SITES1063593" u="1"/>
        <s v="SITES1063601" u="1"/>
        <s v="SITES1063605" u="1"/>
        <s v="SITES1063608" u="1"/>
        <s v="SITES1063611" u="1"/>
        <s v="SITES1063630" u="1"/>
        <s v="SITES1063633" u="1"/>
        <s v="SITES1063635" u="1"/>
        <s v="SITES1063639" u="1"/>
        <s v="SITES1063647" u="1"/>
        <s v="SITES1063648" u="1"/>
        <s v="SITES1063667" u="1"/>
        <s v="SITES1063673" u="1"/>
        <s v="SITES1063676" u="1"/>
        <s v="SITES1063679" u="1"/>
        <s v="SITES1063682" u="1"/>
        <s v="SITES1063683" u="1"/>
        <s v="SITES1063684" u="1"/>
        <s v="SITES1063693" u="1"/>
        <s v="SITES1063694" u="1"/>
        <s v="SITES1063699" u="1"/>
        <s v="SITES1063702" u="1"/>
        <s v="SITES1063715" u="1"/>
        <s v="SITES1063720" u="1"/>
        <s v="SITES1063721" u="1"/>
        <s v="SITES1063738" u="1"/>
        <s v="SITES1063740" u="1"/>
        <s v="SITES1063748" u="1"/>
        <s v="SITES1063762" u="1"/>
        <s v="SITES1063764" u="1"/>
        <s v="SITES1063765" u="1"/>
        <s v="SITES1063849" u="1"/>
        <s v="SITES1063881" u="1"/>
        <s v="SITES1063886" u="1"/>
        <s v="SITES1063887" u="1"/>
        <s v="SITES1063894" u="1"/>
        <s v="SITES1063924" u="1"/>
        <s v="SITES1073027" u="1"/>
        <s v="SITES1073038" u="1"/>
        <s v="SITES1073050" u="1"/>
        <s v="SITES1073088" u="1"/>
        <s v="SITES1073092" u="1"/>
        <s v="SITES1073098" u="1"/>
        <s v="SITES1073104" u="1"/>
        <s v="SITES1073106" u="1"/>
        <s v="SITES1073131" u="1"/>
        <s v="SITES1073132" u="1"/>
        <s v="SITES1073139" u="1"/>
        <s v="SITES1073140" u="1"/>
        <s v="SITES1073146" u="1"/>
        <s v="SITES1073154" u="1"/>
        <s v="SITES1073428" u="1"/>
        <s v="SITES1073429" u="1"/>
        <s v="SITES1073435" u="1"/>
        <s v="SITES1073436" u="1"/>
        <s v="SITES1073452" u="1"/>
        <s v="SITES1073455" u="1"/>
        <s v="SITES1073456" u="1"/>
        <s v="SITES1073457" u="1"/>
        <s v="SITES1073481" u="1"/>
        <s v="SITES1073499" u="1"/>
        <s v="SITES1073505" u="1"/>
        <s v="SITES1073507" u="1"/>
        <s v="SITES1073509" u="1"/>
        <s v="SITES1073511" u="1"/>
        <s v="SITES1073512" u="1"/>
        <s v="SITES1073520" u="1"/>
        <s v="SITES1073522" u="1"/>
        <s v="SITES1073529" u="1"/>
        <s v="SITES1073530" u="1"/>
        <s v="SITES1073531" u="1"/>
        <s v="SITES1073540" u="1"/>
        <s v="SITES1073542" u="1"/>
        <s v="SITES1073544" u="1"/>
        <s v="SITES1073546" u="1"/>
        <s v="SITES1073547" u="1"/>
        <s v="SITES1073550" u="1"/>
        <s v="SITES1073551" u="1"/>
        <s v="SITES1073552" u="1"/>
        <s v="SITES1073615" u="1"/>
        <s v="SITES1073622" u="1"/>
        <s v="SITES1073631" u="1"/>
        <s v="SITES1073632" u="1"/>
        <s v="SITES1073634" u="1"/>
        <s v="SITES1073635" u="1"/>
        <s v="SITES1073641" u="1"/>
        <s v="SITES1073644" u="1"/>
        <s v="SITES1073646" u="1"/>
        <s v="SITES1073647" u="1"/>
        <s v="SITES1073653" u="1"/>
        <s v="SITES1073680" u="1"/>
        <s v="SITES1073693" u="1"/>
        <s v="SITES1073695" u="1"/>
        <s v="SITES1073701" u="1"/>
        <s v="SITES1073704" u="1"/>
        <s v="SITES1073708" u="1"/>
        <s v="SITES1073709" u="1"/>
        <s v="SITES1073713" u="1"/>
        <s v="SITES1073716" u="1"/>
        <s v="SITES1073719" u="1"/>
        <s v="SITES1073726" u="1"/>
        <s v="SITES1073751" u="1"/>
        <s v="SITES1073752" u="1"/>
        <s v="SITES1073753" u="1"/>
        <s v="SITES1073754" u="1"/>
        <s v="SITES1073764" u="1"/>
        <s v="SITES1073768" u="1"/>
        <s v="SITES1073823" u="1"/>
        <s v="SITES1073835" u="1"/>
        <s v="SITES1073836" u="1"/>
        <s v="SITES1073858" u="1"/>
        <s v="SITES1073867" u="1"/>
        <s v="SITES1073870" u="1"/>
        <s v="SITES1073871" u="1"/>
        <s v="SITES1073876" u="1"/>
        <s v="SITES1073894" u="1"/>
        <s v="SITES1073895" u="1"/>
        <s v="SITES1073897" u="1"/>
        <s v="SITES1073901" u="1"/>
        <s v="SITES1073904" u="1"/>
        <s v="SITES1073907" u="1"/>
        <s v="SITES1073922" u="1"/>
        <s v="SITES1073934" u="1"/>
        <s v="SITES1073941" u="1"/>
        <s v="SITES1073954" u="1"/>
        <s v="SITES1074321" u="1"/>
        <s v="SITES1074407" u="1"/>
        <s v="SITES1074408" u="1"/>
        <s v="SITES1074409" u="1"/>
        <s v="SITES1074412" u="1"/>
        <s v="SITES1074413" u="1"/>
        <s v="SITES1074417" u="1"/>
        <s v="SITES1074418" u="1"/>
        <s v="SITES1074420" u="1"/>
        <s v="SITES1074426" u="1"/>
        <s v="SITES1074428" u="1"/>
        <s v="SITES1074430" u="1"/>
        <s v="SITES1074434" u="1"/>
        <s v="SITES1074435" u="1"/>
        <s v="SITES1074450" u="1"/>
        <s v="SITES1074455" u="1"/>
        <s v="SITES1074457" u="1"/>
        <s v="SITES1074459" u="1"/>
        <s v="SITES1074464" u="1"/>
        <s v="SITES1074465" u="1"/>
        <s v="SITES1074466" u="1"/>
        <s v="SITES1074470" u="1"/>
        <s v="SITES1074473" u="1"/>
        <s v="SITES1074475" u="1"/>
        <s v="SITES1074476" u="1"/>
        <s v="SITES1074478" u="1"/>
        <s v="SITES1074481" u="1"/>
        <s v="SITES1074485" u="1"/>
        <s v="SITES1074486" u="1"/>
        <s v="SITES1074534" u="1"/>
        <s v="SITES1074536" u="1"/>
        <s v="SITES1074549" u="1"/>
        <s v="SITES1074551" u="1"/>
        <s v="SITES1074553" u="1"/>
        <s v="SITES1074557" u="1"/>
        <s v="SITES1074732" u="1"/>
        <s v="SITES1074743" u="1"/>
        <s v="SITES1074746" u="1"/>
        <s v="SITES1074757" u="1"/>
        <s v="SITES1074761" u="1"/>
        <s v="SITES1074763" u="1"/>
        <s v="SITES1074766" u="1"/>
        <s v="SITES1074774" u="1"/>
        <s v="SITES1074780" u="1"/>
        <s v="SITES1074790" u="1"/>
        <s v="SITES1074803" u="1"/>
        <s v="SITES1074806" u="1"/>
        <s v="SITES1074812" u="1"/>
        <s v="SITES1074815" u="1"/>
        <s v="SITES1074828" u="1"/>
        <s v="SITES1074874" u="1"/>
        <s v="SITES1074927" u="1"/>
        <s v="SITES1074930" u="1"/>
        <s v="SITES1074931" u="1"/>
        <s v="SITES1074934" u="1"/>
        <s v="SITES1074936" u="1"/>
        <s v="SITES1080012" u="1"/>
        <s v="SITES1080023" u="1"/>
        <s v="SITES1080025" u="1"/>
        <s v="SITES1080047" u="1"/>
        <s v="SITES1080068" u="1"/>
        <s v="SITES1080070" u="1"/>
        <s v="SITES1080121" u="1"/>
        <s v="SITES1080122" u="1"/>
        <s v="SITES1080135" u="1"/>
        <s v="SITES1080149" u="1"/>
        <s v="SITES1080152" u="1"/>
        <s v="SITES1080159" u="1"/>
        <s v="SITES1080163" u="1"/>
        <s v="SITES1080164" u="1"/>
        <s v="SITES1080170" u="1"/>
        <s v="SITES1080173" u="1"/>
        <s v="SITES1080178" u="1"/>
        <s v="SITES1080186" u="1"/>
        <s v="SITES1080188" u="1"/>
        <s v="SITES1080190" u="1"/>
        <s v="SITES1080198" u="1"/>
        <s v="SITES1080209" u="1"/>
        <s v="SITES1080230" u="1"/>
        <s v="SITES1100020" u="1"/>
        <s v="SITES1100075" u="1"/>
        <s v="SITES1100120" u="1"/>
        <s v="SITES1100151" u="1"/>
        <s v="SITES1100154" u="1"/>
        <s v="SITES1100171" u="1"/>
        <s v="SITES1100196" u="1"/>
        <s v="SITES1100264" u="1"/>
        <s v="SITES1100266" u="1"/>
        <s v="SITES1100299" u="1"/>
        <s v="SITES1100316" u="1"/>
        <s v="SITES1100318" u="1"/>
        <s v="SITES1100330" u="1"/>
        <s v="SITES1100371" u="1"/>
        <s v="SITES1100399" u="1"/>
        <s v="SITES1100403" u="1"/>
        <s v="SITES1100419" u="1"/>
        <s v="SITES1100473" u="1"/>
        <s v="SITES1100474" u="1"/>
        <s v="SITES1100550" u="1"/>
        <s v="SITES1100569" u="1"/>
        <s v="SITES1100574" u="1"/>
        <s v="SITES1100602" u="1"/>
        <s v="SITES1100636" u="1"/>
        <s v="SITES1100649" u="1"/>
        <s v="SITES1100672" u="1"/>
        <s v="SITES1100762" u="1"/>
        <s v="SITES1100766" u="1"/>
        <s v="SITES1100767" u="1"/>
        <s v="SITES1110004" u="1"/>
        <s v="SITES1110009" u="1"/>
        <s v="SITES1110040" u="1"/>
        <s v="SITES1110051" u="1"/>
        <s v="SITES1110072" u="1"/>
        <s v="SITES1110075" u="1"/>
        <s v="SITES1110077" u="1"/>
        <s v="SITES1110099" u="1"/>
        <s v="SITES1110100" u="1"/>
        <s v="SITES1110103" u="1"/>
        <s v="SITES1110117" u="1"/>
        <s v="SITES1110120" u="1"/>
        <s v="SITES1110127" u="1"/>
        <s v="SITES1110128" u="1"/>
        <s v="SITES1110516" u="1"/>
        <s v="SITES1110519" u="1"/>
        <s v="SITES1110522" u="1"/>
        <s v="SITES1110626" u="1"/>
        <s v="SITES1110627" u="1"/>
        <s v="SITES1110628" u="1"/>
        <s v="SITES1110960" u="1"/>
        <s v="SITES1110962" u="1"/>
        <s v="SITES1110971" u="1"/>
        <s v="SITES1110972" u="1"/>
        <s v="SITES1110973" u="1"/>
        <s v="SITES1110977" u="1"/>
        <s v="SITES1110980" u="1"/>
        <s v="SITES1110987" u="1"/>
        <s v="SITES1110989" u="1"/>
        <s v="SITES1110993" u="1"/>
        <s v="SITES1110995" u="1"/>
        <s v="SITES1111000" u="1"/>
        <s v="SITES1111005" u="1"/>
        <s v="SITES1111131" u="1"/>
        <s v="SITES1111144" u="1"/>
        <s v="SITES1111151" u="1"/>
        <s v="SITES1111288" u="1"/>
        <s v="SITES1111353" u="1"/>
        <s v="SITES1111355" u="1"/>
        <s v="SITES1111446" u="1"/>
        <s v="SITES1111448" u="1"/>
        <s v="SITES1111450" u="1"/>
        <s v="SITES1111455" u="1"/>
        <s v="SITES1111498" u="1"/>
        <s v="SITES1111502" u="1"/>
        <s v="SITES1111503" u="1"/>
        <s v="SITES1111504" u="1"/>
        <s v="SITES1111505" u="1"/>
        <s v="SITES1203407" u="1"/>
        <s v="SITES1203410" u="1"/>
        <s v="SITES1203411" u="1"/>
        <s v="SITES1203420" u="1"/>
        <s v="SITES1203426" u="1"/>
        <s v="SITES1203431" u="1"/>
        <s v="SITES1203449" u="1"/>
        <s v="SITES1203468" u="1"/>
        <s v="SITES1203470" u="1"/>
        <s v="SITES1203474" u="1"/>
        <s v="SITES1203477" u="1"/>
        <s v="SITES1203479" u="1"/>
        <s v="SITES1203480" u="1"/>
        <s v="SITES1203484" u="1"/>
        <s v="SITES1203485" u="1"/>
        <s v="SITES1203486" u="1"/>
        <s v="SITES1203487" u="1"/>
        <s v="SITES1203489" u="1"/>
        <s v="SITES1203490" u="1"/>
        <s v="SITES1203499" u="1"/>
        <s v="SITES1203503" u="1"/>
        <s v="SITES1203525" u="1"/>
        <s v="SITES1203527" u="1"/>
        <s v="SITES1203529" u="1"/>
        <s v="SITES1203536" u="1"/>
        <s v="SITES1203537" u="1"/>
        <s v="SITES1203541" u="1"/>
        <s v="SITES1203543" u="1"/>
        <s v="SITES1203544" u="1"/>
        <s v="SITES1203547" u="1"/>
        <s v="SITES1203549" u="1"/>
        <s v="SITES1203550" u="1"/>
        <s v="SITES1203556" u="1"/>
        <s v="SITES1203557" u="1"/>
        <s v="SITES1203558" u="1"/>
        <s v="SITES1203559" u="1"/>
        <s v="SITES1203560" u="1"/>
        <s v="SITES1203562" u="1"/>
        <s v="SITES1203564" u="1"/>
        <s v="SITES1203567" u="1"/>
        <s v="SITES1203568" u="1"/>
        <s v="SITES1203570" u="1"/>
        <s v="SITES1203572" u="1"/>
        <s v="SITES1203573" u="1"/>
        <s v="SITES1203575" u="1"/>
        <s v="SITES1203578" u="1"/>
        <s v="SITES1203581" u="1"/>
        <s v="SITES1203582" u="1"/>
        <s v="SITES1203587" u="1"/>
        <s v="SITES1203590" u="1"/>
        <s v="SITES1203594" u="1"/>
        <s v="SITES1203595" u="1"/>
        <s v="SITES1203603" u="1"/>
        <s v="SITES1203606" u="1"/>
        <s v="SITES1203609" u="1"/>
        <s v="SITES1203611" u="1"/>
        <s v="SITES1203618" u="1"/>
        <s v="SITES1203620" u="1"/>
        <s v="SITES1203627" u="1"/>
        <s v="SITES1203629" u="1"/>
        <s v="SITES1203630" u="1"/>
        <s v="SITES1203631" u="1"/>
        <s v="SITES1203632" u="1"/>
        <s v="SITES1203637" u="1"/>
        <s v="SITES1203638" u="1"/>
        <s v="SITES1203642" u="1"/>
        <s v="SITES1203652" u="1"/>
        <s v="SITES1203653" u="1"/>
        <s v="SITES1203659" u="1"/>
        <s v="SITES1203661" u="1"/>
        <s v="SITES1203666" u="1"/>
        <s v="SITES1203681" u="1"/>
        <s v="SITES1203683" u="1"/>
        <s v="SITES1203684" u="1"/>
        <s v="SITES1203689" u="1"/>
        <s v="SITES1203690" u="1"/>
        <s v="SITES1203691" u="1"/>
        <s v="SITES1203693" u="1"/>
        <s v="SITES1203695" u="1"/>
        <s v="SITES1203708" u="1"/>
        <s v="SITES1203709" u="1"/>
        <s v="SITES1203711" u="1"/>
        <s v="SITES1203712" u="1"/>
        <s v="SITES1203713" u="1"/>
        <s v="SITES1203724" u="1"/>
        <s v="SITES1203741" u="1"/>
        <s v="SITES1203750" u="1"/>
        <s v="SITES1203758" u="1"/>
        <s v="SITES1203774" u="1"/>
        <s v="SITES1203777" u="1"/>
        <s v="SITES1203778" u="1"/>
        <s v="SITES1203784" u="1"/>
        <s v="SITES1203788" u="1"/>
        <s v="SITES1203793" u="1"/>
        <s v="SITES1203797" u="1"/>
        <s v="SITES1203801" u="1"/>
        <s v="SITES1203807" u="1"/>
        <s v="SITES1203816" u="1"/>
        <s v="SITES1203831" u="1"/>
        <s v="SITES1203832" u="1"/>
        <s v="SITES1203836" u="1"/>
        <s v="SITES1203841" u="1"/>
        <s v="SITES1203857" u="1"/>
        <s v="SITES1203861" u="1"/>
        <s v="SITES1203862" u="1"/>
        <s v="SITES1203865" u="1"/>
        <s v="SITES1203877" u="1"/>
        <s v="SITES1203881" u="1"/>
        <s v="SITES1203885" u="1"/>
        <s v="SITES1203899" u="1"/>
        <s v="SITES1203909" u="1"/>
        <s v="SITES1203919" u="1"/>
        <s v="SITES1203922" u="1"/>
        <s v="SITES1203925" u="1"/>
        <s v="SITES1203929" u="1"/>
        <s v="SITES1203930" u="1"/>
        <s v="SITES1203932" u="1"/>
        <s v="SITES1203941" u="1"/>
        <s v="SITES1203946" u="1"/>
        <s v="SITES1203952" u="1"/>
        <s v="SITES1203953" u="1"/>
        <s v="SITES1203956" u="1"/>
        <s v="SITES1203957" u="1"/>
        <s v="SITES1203963" u="1"/>
        <s v="SITES1203966" u="1"/>
        <s v="SITES1203968" u="1"/>
        <s v="SITES1203970" u="1"/>
        <s v="SITES1203973" u="1"/>
        <s v="SITES1203984" u="1"/>
        <s v="SITES1204004" u="1"/>
        <s v="SITES1204006" u="1"/>
        <s v="SITES1204008" u="1"/>
        <s v="SITES1204011" u="1"/>
        <s v="SITES1204014" u="1"/>
        <s v="SITES1204015" u="1"/>
        <s v="SITES1204020" u="1"/>
        <s v="SITES1204024" u="1"/>
        <s v="SITES1204026" u="1"/>
        <s v="SITES1204027" u="1"/>
        <s v="SITES1204029" u="1"/>
        <s v="SITES1204030" u="1"/>
        <s v="SITES1204032" u="1"/>
        <s v="SITES1204034" u="1"/>
        <s v="SITES1204035" u="1"/>
        <s v="SITES1204039" u="1"/>
        <s v="SITES1204040" u="1"/>
        <s v="SITES1204047" u="1"/>
        <s v="SITES1204049" u="1"/>
        <s v="SITES1204050" u="1"/>
        <s v="SITES1204056" u="1"/>
        <s v="SITES1204058" u="1"/>
        <s v="SITES1204063" u="1"/>
        <s v="SITES1204069" u="1"/>
        <s v="SITES1204070" u="1"/>
        <s v="SITES1204074" u="1"/>
        <s v="SITES1204084" u="1"/>
        <s v="SITES1204087" u="1"/>
        <s v="SITES1204088" u="1"/>
        <s v="SITES1204090" u="1"/>
        <s v="SITES1204091" u="1"/>
        <s v="SITES1204092" u="1"/>
        <s v="SITES1204108" u="1"/>
        <s v="SITES1204112" u="1"/>
        <s v="SITES1204116" u="1"/>
        <s v="SITES1204118" u="1"/>
        <s v="SITES1204122" u="1"/>
        <s v="SITES1204124" u="1"/>
        <s v="SITES1204127" u="1"/>
        <s v="SITES1204128" u="1"/>
        <s v="SITES1204130" u="1"/>
        <s v="SITES1204133" u="1"/>
        <s v="SITES1204135" u="1"/>
        <s v="SITES1204138" u="1"/>
        <s v="SITES1204141" u="1"/>
        <s v="SITES1204143" u="1"/>
        <s v="SITES1204144" u="1"/>
        <s v="SITES1204147" u="1"/>
        <s v="SITES1204148" u="1"/>
        <s v="SITES1204150" u="1"/>
        <s v="SITES1204153" u="1"/>
        <s v="SITES1204154" u="1"/>
        <s v="SITES1204156" u="1"/>
        <s v="SITES1204157" u="1"/>
        <s v="SITES1204171" u="1"/>
        <s v="SITES1204172" u="1"/>
        <s v="SITES1204173" u="1"/>
        <s v="SITES1204183" u="1"/>
        <s v="SITES1204187" u="1"/>
        <s v="SITES1204191" u="1"/>
        <s v="SITES1204193" u="1"/>
        <s v="SITES1204194" u="1"/>
        <s v="SITES1204196" u="1"/>
        <s v="SITES1204198" u="1"/>
        <s v="SITES1204201" u="1"/>
        <s v="SITES1204202" u="1"/>
        <s v="SITES1204203" u="1"/>
        <s v="SITES1204204" u="1"/>
        <s v="SITES1204215" u="1"/>
        <s v="SITES1204216" u="1"/>
        <s v="SITES1204217" u="1"/>
        <s v="SITES1204219" u="1"/>
        <s v="SITES1204222" u="1"/>
        <s v="SITES1204239" u="1"/>
        <s v="SITES1204244" u="1"/>
        <s v="SITES1204245" u="1"/>
        <s v="SITES1204253" u="1"/>
        <s v="SITES1204254" u="1"/>
        <s v="SITES1204256" u="1"/>
        <s v="SITES1204257" u="1"/>
        <s v="SITES1204268" u="1"/>
        <s v="SITES1204271" u="1"/>
        <s v="SITES1204277" u="1"/>
        <s v="SITES1204279" u="1"/>
        <s v="SITES1204289" u="1"/>
        <s v="SITES1204290" u="1"/>
        <s v="SITES1204292" u="1"/>
        <s v="SITES1204295" u="1"/>
        <s v="SITES1204296" u="1"/>
        <s v="SITES1204299" u="1"/>
        <s v="SITES1204307" u="1"/>
        <s v="SITES1204311" u="1"/>
        <s v="SITES1204339" u="1"/>
        <s v="SITES1204345" u="1"/>
        <s v="SITES1204346" u="1"/>
        <s v="SITES1204369" u="1"/>
        <s v="SITES1204372" u="1"/>
        <s v="SITES1204373" u="1"/>
        <s v="SITES1204374" u="1"/>
        <s v="SITES1204377" u="1"/>
        <s v="SITES1204379" u="1"/>
        <s v="SITES1204382" u="1"/>
        <s v="SITES1204383" u="1"/>
        <s v="SITES1204385" u="1"/>
        <s v="SITES1204386" u="1"/>
        <s v="SITES1204387" u="1"/>
        <s v="SITES1204388" u="1"/>
        <s v="SITES1204390" u="1"/>
        <s v="SITES1204392" u="1"/>
        <s v="SITES1204397" u="1"/>
        <s v="SITES1204398" u="1"/>
        <s v="SITES1204400" u="1"/>
        <s v="SITES1204401" u="1"/>
        <s v="SITES1204403" u="1"/>
        <s v="SITES1204409" u="1"/>
        <s v="SITES1204411" u="1"/>
        <s v="SITES1204414" u="1"/>
        <s v="SITES1204415" u="1"/>
        <s v="SITES1204418" u="1"/>
        <s v="SITES1204419" u="1"/>
        <s v="SITES1204422" u="1"/>
        <s v="SITES1204430" u="1"/>
        <s v="SITES1204437" u="1"/>
        <s v="SITES1204440" u="1"/>
        <s v="SITES1204442" u="1"/>
        <s v="SITES1204443" u="1"/>
        <s v="SITES1204444" u="1"/>
        <s v="SITES1204446" u="1"/>
        <s v="SITES1204448" u="1"/>
        <s v="SITES1204453" u="1"/>
        <s v="SITES1204457" u="1"/>
        <s v="SITES1204459" u="1"/>
        <s v="SITES1204460" u="1"/>
        <s v="SITES1204461" u="1"/>
        <s v="SITES1204465" u="1"/>
        <s v="SITES1204470" u="1"/>
        <s v="SITES1204474" u="1"/>
        <s v="SITES1204475" u="1"/>
        <s v="SITES1204481" u="1"/>
        <s v="SITES1204484" u="1"/>
        <s v="SITES1204485" u="1"/>
        <s v="SITES1204492" u="1"/>
        <s v="SITES1204496" u="1"/>
        <s v="SITES1204497" u="1"/>
        <s v="SITES1204499" u="1"/>
        <s v="SITES1204500" u="1"/>
        <s v="SITES1204502" u="1"/>
        <s v="SITES1204503" u="1"/>
        <s v="SITES1204505" u="1"/>
        <s v="SITES1204507" u="1"/>
        <s v="SITES1204508" u="1"/>
        <s v="SITES1204516" u="1"/>
        <s v="SITES1204519" u="1"/>
        <s v="SITES1204521" u="1"/>
        <s v="SITES1204522" u="1"/>
        <s v="SITES1204527" u="1"/>
        <s v="SITES1204531" u="1"/>
        <s v="SITES1204532" u="1"/>
        <s v="SITES1204534" u="1"/>
        <s v="SITES1204535" u="1"/>
        <s v="SITES1204536" u="1"/>
        <s v="SITES1204538" u="1"/>
        <s v="SITES1204540" u="1"/>
        <s v="SITES1204543" u="1"/>
        <s v="SITES1204544" u="1"/>
        <s v="SITES1204552" u="1"/>
        <s v="SITES1204557" u="1"/>
        <s v="SITES1204563" u="1"/>
        <s v="SITES1204565" u="1"/>
        <s v="SITES1204571" u="1"/>
        <s v="SITES1204572" u="1"/>
        <s v="SITES1204574" u="1"/>
        <s v="SITES1204575" u="1"/>
        <s v="SITES1204579" u="1"/>
        <s v="SITES1204581" u="1"/>
        <s v="SITES1204582" u="1"/>
        <s v="SITES1204590" u="1"/>
        <s v="SITES1204593" u="1"/>
        <s v="SITES1204594" u="1"/>
        <s v="SITES1204595" u="1"/>
        <s v="SITES1204598" u="1"/>
        <s v="SITES1204599" u="1"/>
        <s v="SITES1204605" u="1"/>
        <s v="SITES1204621" u="1"/>
        <s v="SITES1204623" u="1"/>
        <s v="SITES1204624" u="1"/>
        <s v="SITES1204629" u="1"/>
        <s v="SITES1204632" u="1"/>
        <s v="SITES1204637" u="1"/>
        <s v="SITES1204638" u="1"/>
        <s v="SITES1204641" u="1"/>
        <s v="SITES1204644" u="1"/>
        <s v="SITES1204648" u="1"/>
        <s v="SITES1204649" u="1"/>
        <s v="SITES1204651" u="1"/>
        <s v="SITES1204652" u="1"/>
        <s v="SITES1204653" u="1"/>
        <s v="SITES1204655" u="1"/>
        <s v="SITES1204658" u="1"/>
        <s v="SITES1204662" u="1"/>
        <s v="SITES1204663" u="1"/>
        <s v="SITES1204667" u="1"/>
        <s v="SITES1204669" u="1"/>
        <s v="SITES1204677" u="1"/>
        <s v="SITES1204678" u="1"/>
        <s v="SITES1204680" u="1"/>
        <s v="SITES1204681" u="1"/>
        <s v="SITES1204682" u="1"/>
        <s v="SITES1204689" u="1"/>
        <s v="SITES1204713" u="1"/>
        <s v="SITES1204715" u="1"/>
        <s v="SITES1204716" u="1"/>
        <s v="SITES1204719" u="1"/>
        <s v="SITES1204725" u="1"/>
        <s v="SITES1204728" u="1"/>
        <s v="SITES1204729" u="1"/>
        <s v="SITES1204732" u="1"/>
        <s v="SITES1204734" u="1"/>
        <s v="SITES1204739" u="1"/>
        <s v="SITES1204744" u="1"/>
        <s v="SITES1204746" u="1"/>
        <s v="SITES1204754" u="1"/>
        <s v="SITES1204757" u="1"/>
        <s v="SITES1204760" u="1"/>
        <s v="SITES1204761" u="1"/>
        <s v="SITES1204762" u="1"/>
        <s v="SITES1204763" u="1"/>
        <s v="SITES1204768" u="1"/>
        <s v="SITES1204770" u="1"/>
        <s v="SITES1204774" u="1"/>
        <s v="SITES1204775" u="1"/>
        <s v="SITES1204776" u="1"/>
        <s v="SITES1204777" u="1"/>
        <s v="SITES1204780" u="1"/>
        <s v="SITES1204781" u="1"/>
        <s v="SITES1204782" u="1"/>
        <s v="SITES1204783" u="1"/>
        <s v="SITES1204784" u="1"/>
        <s v="SITES1204786" u="1"/>
        <s v="SITES1204788" u="1"/>
        <s v="SITES1204790" u="1"/>
        <s v="SITES1204792" u="1"/>
        <s v="SITES1204795" u="1"/>
        <s v="SITES1204797" u="1"/>
        <s v="SITES1204798" u="1"/>
        <s v="SITES1204799" u="1"/>
        <s v="SITES1204802" u="1"/>
        <s v="SITES1204807" u="1"/>
        <s v="SITES1204814" u="1"/>
        <s v="SITES1204816" u="1"/>
        <s v="SITES1204819" u="1"/>
        <s v="SITES1204822" u="1"/>
        <s v="SITES1204824" u="1"/>
        <s v="SITES1204829" u="1"/>
        <s v="SITES1204830" u="1"/>
        <s v="SITES1204831" u="1"/>
        <s v="SITES1204832" u="1"/>
        <s v="SITES1204834" u="1"/>
        <s v="SITES1204836" u="1"/>
        <s v="SITES1204844" u="1"/>
        <s v="SITES1204850" u="1"/>
        <s v="SITES1204852" u="1"/>
        <s v="SITES1204853" u="1"/>
        <s v="SITES1204859" u="1"/>
        <s v="SITES1204861" u="1"/>
        <s v="SITES1204862" u="1"/>
        <s v="SITES1204864" u="1"/>
        <s v="SITES1204866" u="1"/>
        <s v="SITES1204871" u="1"/>
        <s v="SITES1204872" u="1"/>
        <s v="SITES1204874" u="1"/>
        <s v="SITES1204878" u="1"/>
        <s v="SITES1204886" u="1"/>
        <s v="SITES1204892" u="1"/>
        <s v="SITES1204894" u="1"/>
        <s v="SITES1204895" u="1"/>
        <s v="SITES1204904" u="1"/>
        <s v="SITES1204907" u="1"/>
        <s v="SITES1204909" u="1"/>
        <s v="SITES1204911" u="1"/>
        <s v="SITES1204912" u="1"/>
        <s v="SITES1204914" u="1"/>
        <s v="SITES1204916" u="1"/>
        <s v="SITES1204920" u="1"/>
        <s v="SITES1204922" u="1"/>
        <s v="SITES1204923" u="1"/>
        <s v="SITES1204926" u="1"/>
        <s v="SITES1204928" u="1"/>
        <s v="SITES1204933" u="1"/>
        <s v="SITES1204934" u="1"/>
        <s v="SITES1204941" u="1"/>
        <s v="SITES1204946" u="1"/>
        <s v="SITES1204949" u="1"/>
        <s v="SITES1204950" u="1"/>
        <s v="SITES1204953" u="1"/>
        <s v="SITES1204955" u="1"/>
        <s v="SITES1204957" u="1"/>
        <s v="SITES1204958" u="1"/>
        <s v="SITES1204963" u="1"/>
        <s v="SITES1204964" u="1"/>
        <s v="SITES1204965" u="1"/>
        <s v="SITES1204966" u="1"/>
        <s v="SITES1204968" u="1"/>
        <s v="SITES1204969" u="1"/>
        <s v="SITES1204973" u="1"/>
        <s v="SITES1204979" u="1"/>
        <s v="SITES1204982" u="1"/>
        <s v="SITES1204993" u="1"/>
        <s v="SITES1204999" u="1"/>
        <s v="SITES1205002" u="1"/>
        <s v="SITES1205004" u="1"/>
        <s v="SITES1205005" u="1"/>
        <s v="SITES1205006" u="1"/>
        <s v="SITES1205007" u="1"/>
        <s v="SITES1205008" u="1"/>
        <s v="SITES1205010" u="1"/>
        <s v="SITES1205013" u="1"/>
        <s v="SITES1205015" u="1"/>
        <s v="SITES1205027" u="1"/>
        <s v="SITES1205029" u="1"/>
        <s v="SITES1205036" u="1"/>
        <s v="SITES1205039" u="1"/>
        <s v="SITES1205041" u="1"/>
        <s v="SITES1205042" u="1"/>
        <s v="SITES1205043" u="1"/>
        <s v="SITES1205044" u="1"/>
        <s v="SITES1205045" u="1"/>
        <s v="SITES1205052" u="1"/>
        <s v="SITES1205056" u="1"/>
        <s v="SITES1205061" u="1"/>
        <s v="SITES1205063" u="1"/>
        <s v="SITES1205066" u="1"/>
        <s v="SITES1205071" u="1"/>
        <s v="SITES1205072" u="1"/>
        <s v="SITES1205085" u="1"/>
        <s v="SITES1205086" u="1"/>
        <s v="SITES1205090" u="1"/>
        <s v="SITES1205098" u="1"/>
        <s v="SITES1205099" u="1"/>
        <s v="SITES1205101" u="1"/>
        <s v="SITES1205102" u="1"/>
        <s v="SITES1205104" u="1"/>
        <s v="SITES1205106" u="1"/>
        <s v="SITES1205114" u="1"/>
        <s v="SITES1205123" u="1"/>
        <s v="SITES1205128" u="1"/>
        <s v="SITES1205129" u="1"/>
        <s v="SITES1205130" u="1"/>
        <s v="SITES1205131" u="1"/>
        <s v="SITES1205140" u="1"/>
        <s v="SITES1205143" u="1"/>
        <s v="SITES1205145" u="1"/>
        <s v="SITES1205147" u="1"/>
        <s v="SITES1205149" u="1"/>
        <s v="SITES1205152" u="1"/>
        <s v="SITES1205153" u="1"/>
        <s v="SITES1205158" u="1"/>
        <s v="SITES1205163" u="1"/>
        <s v="SITES1205168" u="1"/>
        <s v="SITES1205170" u="1"/>
        <s v="SITES1205171" u="1"/>
        <s v="SITES1205172" u="1"/>
        <s v="SITES1205174" u="1"/>
        <s v="SITES1205177" u="1"/>
        <s v="SITES1205180" u="1"/>
        <s v="SITES1205181" u="1"/>
        <s v="SITES1205182" u="1"/>
        <s v="SITES1205183" u="1"/>
        <s v="SITES1205184" u="1"/>
        <s v="SITES1205187" u="1"/>
        <s v="SITES1205188" u="1"/>
        <s v="SITES1205190" u="1"/>
        <s v="SITES1205196" u="1"/>
        <s v="SITES1205213" u="1"/>
        <s v="SITES1205215" u="1"/>
        <s v="SITES1205227" u="1"/>
        <s v="SITES1205228" u="1"/>
        <s v="SITES1205230" u="1"/>
        <s v="SITES1205232" u="1"/>
        <s v="SITES1205237" u="1"/>
        <s v="SITES1205238" u="1"/>
        <s v="SITES1205243" u="1"/>
        <s v="SITES1205244" u="1"/>
        <s v="SITES1205245" u="1"/>
        <s v="SITES1205246" u="1"/>
        <s v="SITES1205249" u="1"/>
        <s v="SITES1205251" u="1"/>
        <s v="SITES1205252" u="1"/>
        <s v="SITES1205253" u="1"/>
        <s v="SITES1205254" u="1"/>
        <s v="SITES1205255" u="1"/>
        <s v="SITES1205258" u="1"/>
        <s v="SITES1205265" u="1"/>
        <s v="SITES1205267" u="1"/>
        <s v="SITES1205269" u="1"/>
        <s v="SITES1205274" u="1"/>
        <s v="SITES1205276" u="1"/>
        <s v="SITES1205277" u="1"/>
        <s v="SITES1205278" u="1"/>
        <s v="SITES1205279" u="1"/>
        <s v="SITES1205283" u="1"/>
        <s v="SITES1205284" u="1"/>
        <s v="SITES1205285" u="1"/>
        <s v="SITES1205287" u="1"/>
        <s v="SITES1205288" u="1"/>
        <s v="SITES1205289" u="1"/>
        <s v="SITES1205294" u="1"/>
        <s v="SITES1205297" u="1"/>
        <s v="SITES1205299" u="1"/>
        <s v="SITES1205304" u="1"/>
        <s v="SITES1205311" u="1"/>
        <s v="SITES1205322" u="1"/>
        <s v="SITES1205323" u="1"/>
        <s v="SITES1205325" u="1"/>
        <s v="SITES1205335" u="1"/>
        <s v="SITES1205337" u="1"/>
        <s v="SITES1205340" u="1"/>
        <s v="SITES1208434" u="1"/>
        <s v="SITES1208438" u="1"/>
        <s v="SITES1208440" u="1"/>
        <s v="SITES1208446" u="1"/>
        <s v="SITES1208450" u="1"/>
        <s v="SITES1208451" u="1"/>
        <s v="SITES1208452" u="1"/>
        <s v="SITES1208453" u="1"/>
        <s v="SITES1208455" u="1"/>
        <s v="SITES1208459" u="1"/>
        <s v="SITES1208470" u="1"/>
        <s v="SITES1208471" u="1"/>
        <s v="SITES1208474" u="1"/>
        <s v="SITES1208477" u="1"/>
        <s v="SITES1208478" u="1"/>
        <s v="SITES1209094" u="1"/>
        <s v="SITES1209224" u="1"/>
        <s v="SITES1209226" u="1"/>
        <s v="SITES1209228" u="1"/>
        <s v="SITES1209240" u="1"/>
        <s v="SITES1209244" u="1"/>
        <s v="SITES1209245" u="1"/>
        <s v="SITES1209246" u="1"/>
        <s v="SITES1209248" u="1"/>
        <s v="SITES1209249" u="1"/>
        <s v="SITES1209256" u="1"/>
        <s v="SITES1209259" u="1"/>
        <s v="SITES1209261" u="1"/>
        <s v="SITES1209262" u="1"/>
        <s v="SITES1209266" u="1"/>
        <s v="SITES1209271" u="1"/>
        <s v="SITES1209273" u="1"/>
        <s v="SITES1209274" u="1"/>
        <s v="SITES1209284" u="1"/>
        <s v="SITES1209286" u="1"/>
        <s v="SITES1209288" u="1"/>
        <s v="SITES1209289" u="1"/>
        <s v="SITES1209291" u="1"/>
        <s v="SITES1209292" u="1"/>
        <s v="SITES1209294" u="1"/>
        <s v="SITES1209297" u="1"/>
        <s v="SITES1209300" u="1"/>
        <s v="SITES1209302" u="1"/>
        <s v="SITES1209304" u="1"/>
        <s v="SITES1209306" u="1"/>
        <s v="SITES1209310" u="1"/>
        <s v="SITES1209313" u="1"/>
        <s v="SITES1209320" u="1"/>
        <s v="SITES1209321" u="1"/>
        <s v="SITES1209325" u="1"/>
        <s v="SITES1209328" u="1"/>
        <s v="SITES1209330" u="1"/>
        <s v="SITES1209332" u="1"/>
        <s v="SITES1209339" u="1"/>
        <s v="SITES1209340" u="1"/>
        <s v="SITES1209342" u="1"/>
        <s v="SITES1209346" u="1"/>
        <s v="SITES1209348" u="1"/>
        <s v="SITES1209351" u="1"/>
        <s v="SITES1209354" u="1"/>
        <s v="SITES1209359" u="1"/>
        <s v="SITES1209364" u="1"/>
        <s v="SITES1209366" u="1"/>
        <s v="SITES1209367" u="1"/>
        <s v="SITES1209372" u="1"/>
        <s v="SITES1209373" u="1"/>
        <s v="SITES1209380" u="1"/>
        <s v="SITES1209384" u="1"/>
        <s v="SITES1209388" u="1"/>
        <s v="SITES1209389" u="1"/>
        <s v="SITES1209390" u="1"/>
        <s v="SITES1209534" u="1"/>
        <s v="SITES1209535" u="1"/>
        <s v="SITES1209536" u="1"/>
        <s v="SITES1209537" u="1"/>
        <s v="SITES1209540" u="1"/>
        <s v="SITES1209541" u="1"/>
        <s v="SITES1209542" u="1"/>
        <s v="SITES1209543" u="1"/>
        <s v="SITES1209544" u="1"/>
        <s v="SITES1209546" u="1"/>
        <s v="SITES1209547" u="1"/>
        <s v="SITES1209548" u="1"/>
        <s v="SITES1209550" u="1"/>
        <s v="SITES1209551" u="1"/>
        <s v="SITES1209552" u="1"/>
        <s v="SITES1209554" u="1"/>
        <s v="SITES1209556" u="1"/>
        <s v="SITES1209562" u="1"/>
        <s v="SITES1209567" u="1"/>
        <s v="SITES1209570" u="1"/>
        <s v="SITES1209573" u="1"/>
        <s v="SITES1209579" u="1"/>
        <s v="SITES1209581" u="1"/>
        <s v="PAC1055528" u="1"/>
        <s v="PAC1055529" u="1"/>
        <s v="PAC1055885" u="1"/>
        <s v="PAC1055997" u="1"/>
        <s v="PAC1055998" u="1"/>
        <s v="PAC1055999" u="1"/>
        <s v="PAC1056005" u="1"/>
        <s v="PAC1056009" u="1"/>
        <s v="PAC1056117" u="1"/>
        <s v="PAC1056118" u="1"/>
        <s v="PAC1056119" u="1"/>
        <s v="PAC1056121" u="1"/>
        <s v="PAC1056132" u="1"/>
        <s v="PAC1056136" u="1"/>
        <s v="PAC1056137" u="1"/>
        <s v="PAC1056138" u="1"/>
        <s v="PAC1056139" u="1"/>
        <s v="PAC1056140" u="1"/>
        <s v="PAC1056141" u="1"/>
        <s v="PAC1056145" u="1"/>
        <s v="PAC1056148" u="1"/>
        <s v="PAC1056232" u="1"/>
        <s v="PAC1057052" u="1"/>
        <s v="PAC1057054" u="1"/>
        <s v="PAC1060055" u="1"/>
        <s v="PAC1060518" u="1"/>
        <s v="PAC1061035" u="1"/>
        <s v="PAC1061349" u="1"/>
        <s v="PAC1061350" u="1"/>
        <s v="PAC1061387" u="1"/>
        <s v="PAC1061724" u="1"/>
        <s v="PAC1061729" u="1"/>
        <s v="PAC1061743" u="1"/>
        <s v="PAC1062719" u="1"/>
        <s v="PAC1062720" u="1"/>
        <s v="PAC1062721" u="1"/>
        <s v="PAC1062722" u="1"/>
        <s v="PAC1062747" u="1"/>
        <s v="PAC1062748" u="1"/>
        <s v="PAC1062749" u="1"/>
        <s v="PAC1063570" u="1"/>
        <s v="PAC1063591" u="1"/>
        <s v="PAC1063599" u="1"/>
        <s v="PAC1063668" u="1"/>
        <s v="PAC1063685" u="1"/>
        <s v="PAC1063910" u="1"/>
        <s v="PAC1063916" u="1"/>
        <s v="PAC1064175" u="1"/>
        <s v="PAC1064189" u="1"/>
        <s v="PAC1064207" u="1"/>
        <s v="PAC1064262" u="1"/>
        <s v="PAC1064628" u="1"/>
        <s v="PAC1064666" u="1"/>
        <s v="PAC1064716" u="1"/>
        <s v="PAC1064777" u="1"/>
        <s v="PAC1064790" u="1"/>
        <s v="PAC1064849" u="1"/>
        <s v="PAC1064859" u="1"/>
        <s v="PAC1064871" u="1"/>
        <s v="PAC1064873" u="1"/>
        <s v="PAC1064879" u="1"/>
        <s v="PAC1064918" u="1"/>
        <s v="PAC1064921" u="1"/>
        <s v="PAC1064922" u="1"/>
        <s v="PAC1064930" u="1"/>
        <s v="PAC1064934" u="1"/>
        <s v="PAC1065069" u="1"/>
        <s v="PAC1065070" u="1"/>
        <s v="PAC1065330" u="1"/>
        <s v="PAC1065332" u="1"/>
        <s v="PAC1066328" u="1"/>
        <s v="PAC1066441" u="1"/>
        <s v="PAC1066442" u="1"/>
        <s v="PAC1066517" u="1"/>
        <s v="PAC1066652" u="1"/>
        <s v="PAC1066653" u="1"/>
        <s v="PAC1066672" u="1"/>
        <s v="PAC1066674" u="1"/>
        <s v="PAC1066676" u="1"/>
        <s v="PAC1066694" u="1"/>
        <s v="PAC1066695" u="1"/>
        <s v="PAC1066700" u="1"/>
        <s v="PAC1066701" u="1"/>
        <s v="PAC1066852" u="1"/>
        <s v="PAC1066881" u="1"/>
        <s v="PAC1066882" u="1"/>
        <s v="PAC1066912" u="1"/>
        <s v="PAC1066913" u="1"/>
        <s v="PAC1066963" u="1"/>
        <s v="PAC1066964" u="1"/>
        <s v="PAC1067018" u="1"/>
        <s v="PAC1067019" u="1"/>
        <s v="PAC1067021" u="1"/>
        <s v="PAC1067022" u="1"/>
        <s v="PAC1067023" u="1"/>
        <s v="PAC1073996" u="1"/>
        <s v="PAC1073999" u="1"/>
        <s v="PAC1100097" u="1"/>
        <s v="PAC1100775" u="1"/>
        <s v="PAC1200143" u="1"/>
        <s v="PAC1200144" u="1"/>
        <s v="PAC1200192" u="1"/>
        <s v="PAC1200193" u="1"/>
        <s v="PAC1200196" u="1"/>
        <s v="PAC1200204" u="1"/>
        <s v="PAC1200969" u="1"/>
        <s v="PAC1203154" u="1"/>
        <s v="PAC1203155" u="1"/>
        <s v="PAC1203215" u="1"/>
        <s v="PAC1203218" u="1"/>
        <s v="PAC1203225" u="1"/>
        <s v="PAC1203226" u="1"/>
        <s v="PAC1203227" u="1"/>
        <s v="PAC1203587" u="1"/>
        <s v="PAC1203588" u="1"/>
        <s v="PAC1203638" u="1"/>
        <s v="PAC1203855" u="1"/>
        <s v="PAC1203863" u="1"/>
        <s v="PAC1203870" u="1"/>
        <s v="PAC1203909" u="1"/>
        <s v="PAC1203912" u="1"/>
        <s v="PAC1203943" u="1"/>
        <s v="PAC1203944" u="1"/>
        <s v="PAC1203946" u="1"/>
        <s v="PAC1203987" u="1"/>
        <s v="PAC1203988" u="1"/>
        <s v="PAC1203994" u="1"/>
        <s v="PAC1204000" u="1"/>
        <s v="PAC1204092" u="1"/>
        <s v="PAC1204324" u="1"/>
        <s v="PAC1204325" u="1"/>
        <s v="PAC1204326" u="1"/>
        <s v="PAC1204690" u="1"/>
        <s v="PAC1204764" u="1"/>
        <s v="PAC1204765" u="1"/>
        <s v="PAC1204851" u="1"/>
        <s v="PAC1204852" u="1"/>
        <s v="PAC1204871" u="1"/>
        <s v="PAC1204893" u="1"/>
        <s v="PAC1204895" u="1"/>
        <s v="PAC1204896" u="1"/>
        <s v="PAC1204897" u="1"/>
        <s v="PAC1204898" u="1"/>
        <s v="PAC1204899" u="1"/>
        <s v="PAC1204900" u="1"/>
        <s v="PAC1204901" u="1"/>
        <s v="PAC1204902" u="1"/>
        <s v="PAC1204903" u="1"/>
        <s v="PAC1204904" u="1"/>
        <s v="PAC1204905" u="1"/>
        <s v="PAC1204906" u="1"/>
        <s v="PAC1204909" u="1"/>
        <s v="PAC1204910" u="1"/>
        <s v="PAC1204911" u="1"/>
        <s v="PAC1204912" u="1"/>
        <s v="PAC1204913" u="1"/>
        <s v="PAC1204914" u="1"/>
        <s v="PAC1204915" u="1"/>
        <s v="PAC1205007" u="1"/>
        <s v="PAC1205039" u="1"/>
        <s v="PAC1205073" u="1"/>
        <s v="PAC1205626" u="1"/>
        <s v="PAC1205627" u="1"/>
        <s v="PAC1205736" u="1"/>
        <s v="PAC1206009" u="1"/>
        <s v="PAC1206051" u="1"/>
        <s v="PAC1206071" u="1"/>
        <s v="PAC1206488" u="1"/>
        <s v="PAC1206489" u="1"/>
        <s v="PAC1206490" u="1"/>
        <s v="PAC1206491" u="1"/>
        <s v="PAC1206492" u="1"/>
        <s v="PAC1206493" u="1"/>
        <s v="PAC1206494" u="1"/>
        <s v="PAC1206641" u="1"/>
        <s v="PAC1206670" u="1"/>
        <s v="PAC1206671" u="1"/>
        <s v="PAC1206871" u="1"/>
        <s v="PAC1206919" u="1"/>
        <s v="PAC1206920" u="1"/>
        <s v="PAC1206933" u="1"/>
        <s v="PAC1207086" u="1"/>
        <s v="PAC1207132" u="1"/>
        <s v="PAC1207138" u="1"/>
        <s v="PAC1207139" u="1"/>
        <s v="PAC1207140" u="1"/>
        <s v="PAC1207141" u="1"/>
        <s v="PAC1207142" u="1"/>
        <s v="PAC1207143" u="1"/>
        <s v="PAC1207144" u="1"/>
        <s v="PAC1207145" u="1"/>
        <s v="PAC1207146" u="1"/>
        <s v="PAC1207147" u="1"/>
        <s v="PAC1207153" u="1"/>
        <s v="PAC1207156" u="1"/>
        <s v="PAC1207157" u="1"/>
        <s v="PAC1207207" u="1"/>
        <s v="PAC1207223" u="1"/>
        <s v="PAC1207224" u="1"/>
        <s v="PAC1207225" u="1"/>
        <s v="PAC1207226" u="1"/>
        <s v="PAC1207227" u="1"/>
        <s v="PAC1207228" u="1"/>
        <s v="PAC1207239" u="1"/>
        <s v="PAC1207240" u="1"/>
        <s v="PAC1207241" u="1"/>
        <s v="PAC1207242" u="1"/>
        <s v="PAC1207369" u="1"/>
        <s v="PAC1207394" u="1"/>
        <s v="PAC1207395" u="1"/>
        <s v="PAC1207396" u="1"/>
        <s v="PAC1207397" u="1"/>
        <s v="PAC1207398" u="1"/>
        <s v="PAC1207399" u="1"/>
        <s v="PAC1207400" u="1"/>
        <s v="PAC1207401" u="1"/>
        <s v="PAC1207402" u="1"/>
        <s v="PAC1207403" u="1"/>
        <s v="PAC1207404" u="1"/>
        <s v="PAC1207405" u="1"/>
        <s v="PAC1207407" u="1"/>
        <s v="PAC1207408" u="1"/>
        <s v="PAC1207409" u="1"/>
        <s v="PAC1207410" u="1"/>
        <s v="PAC1207414" u="1"/>
        <s v="PAC1207415" u="1"/>
        <s v="PAC1207416" u="1"/>
        <s v="PAC1207424" u="1"/>
        <s v="PAC1207425" u="1"/>
        <s v="PAC1207426" u="1"/>
        <s v="PAC1207427" u="1"/>
        <s v="PAC1207451" u="1"/>
        <s v="PAC1207452" u="1"/>
        <s v="PAC1207467" u="1"/>
        <s v="PAC1207470" u="1"/>
        <s v="PAC1207475" u="1"/>
        <s v="PAC1207476" u="1"/>
        <s v="PAC1207477" u="1"/>
        <s v="PAC1207478" u="1"/>
        <s v="PAC1207479" u="1"/>
        <s v="PAC1207480" u="1"/>
        <s v="PAC1207481" u="1"/>
        <s v="PAC1207482" u="1"/>
        <s v="PAC1207490" u="1"/>
        <s v="PAC1207491" u="1"/>
        <s v="PAC1207492" u="1"/>
        <s v="PAC1207493" u="1"/>
        <s v="PAC1207494" u="1"/>
        <s v="PAC1207495" u="1"/>
        <s v="PAC1207496" u="1"/>
        <s v="PAC1207561" u="1"/>
        <s v="PAC1207572" u="1"/>
        <s v="PAC1207573" u="1"/>
        <s v="PAC1207574" u="1"/>
        <s v="PAC1207575" u="1"/>
        <s v="PAC1207583" u="1"/>
        <s v="PAC1207610" u="1"/>
        <s v="PAC1207651" u="1"/>
        <s v="PAC1207668" u="1"/>
        <s v="PAC1207670" u="1"/>
        <s v="PAC1207671" u="1"/>
        <s v="PAC1207674" u="1"/>
        <s v="PAC1207723" u="1"/>
        <s v="PAC1207736" u="1"/>
        <s v="PAC1208220" u="1"/>
        <s v="PAC1208236" u="1"/>
        <s v="PAC1208237" u="1"/>
        <s v="PAC1208238" u="1"/>
        <s v="PAC1208239" u="1"/>
        <s v="PAC1208240" u="1"/>
        <s v="PAC1208241" u="1"/>
        <s v="PAC1208315" u="1"/>
        <s v="PAC1208316" u="1"/>
        <s v="PAC1208317" u="1"/>
        <s v="PAC1208318" u="1"/>
        <s v="PAC1208319" u="1"/>
        <s v="PAC1208320" u="1"/>
        <s v="PAC1208321" u="1"/>
        <s v="PAC1208322" u="1"/>
        <s v="PAC1208323" u="1"/>
        <s v="PAC1208324" u="1"/>
        <s v="PAC1208327" u="1"/>
        <s v="PAC1208333" u="1"/>
        <s v="PAC1208334" u="1"/>
        <s v="PAC1208335" u="1"/>
        <s v="PAC1208336" u="1"/>
        <s v="PAC1208337" u="1"/>
        <s v="PAC1208338" u="1"/>
        <s v="PAC1208339" u="1"/>
        <s v="PAC1208340" u="1"/>
        <s v="PAC1208341" u="1"/>
        <s v="PAC1208342" u="1"/>
        <s v="PAC1208343" u="1"/>
        <s v="PAC1208344" u="1"/>
        <s v="PAC1208345" u="1"/>
        <s v="PAC1208346" u="1"/>
        <s v="PAC1208347" u="1"/>
        <s v="PAC1208348" u="1"/>
        <s v="PAC1208349" u="1"/>
        <s v="PAC1208350" u="1"/>
        <s v="PAC1208351" u="1"/>
        <s v="PAC1208352" u="1"/>
        <s v="PAC1208353" u="1"/>
        <s v="PAC1208354" u="1"/>
        <s v="PAC1208355" u="1"/>
        <s v="PAC1208356" u="1"/>
        <s v="PAC1208357" u="1"/>
        <s v="PAC1208358" u="1"/>
        <s v="PAC1208359" u="1"/>
        <s v="PAC1208360" u="1"/>
        <s v="PAC1208361" u="1"/>
        <s v="PAC1208362" u="1"/>
        <s v="PAC1208363" u="1"/>
        <s v="PAC1208364" u="1"/>
        <s v="PAC1208365" u="1"/>
        <s v="PAC1208366" u="1"/>
        <s v="PAC1208367" u="1"/>
        <s v="PAC1208368" u="1"/>
        <s v="PAC1208369" u="1"/>
        <s v="PAC1208370" u="1"/>
        <s v="PAC1208371" u="1"/>
        <s v="PAC1208372" u="1"/>
        <s v="PAC1208373" u="1"/>
        <s v="PAC1208374" u="1"/>
        <s v="PAC1208375" u="1"/>
        <s v="PAC1208377" u="1"/>
        <s v="PAC1208386" u="1"/>
        <s v="PAC1208387" u="1"/>
        <s v="PAC1208388" u="1"/>
        <s v="PAC1208391" u="1"/>
        <s v="PAC1208414" u="1"/>
        <s v="PAC1208415" u="1"/>
        <s v="PAC1208422" u="1"/>
        <s v="PAC1208467" u="1"/>
        <s v="PAC1208468" u="1"/>
        <s v="PAC1208469" u="1"/>
        <s v="PAC1208470" u="1"/>
        <s v="PAC1208471" u="1"/>
        <s v="PAC1208472" u="1"/>
        <s v="PAC1208473" u="1"/>
        <s v="PAC1208474" u="1"/>
        <s v="PAC1208475" u="1"/>
        <s v="PAC1208485" u="1"/>
        <s v="PAC1208486" u="1"/>
        <s v="PAC1208490" u="1"/>
        <s v="PAC1208496" u="1"/>
        <s v="PAC1208497" u="1"/>
        <s v="PAC1208498" u="1"/>
        <s v="PAC1208529" u="1"/>
        <s v="PAC1208530" u="1"/>
        <s v="PAC1208531" u="1"/>
        <s v="PAC1208533" u="1"/>
        <s v="PAC1208534" u="1"/>
        <s v="PAC1208536" u="1"/>
        <s v="PAC1208604" u="1"/>
        <s v="PAC1208608" u="1"/>
        <s v="PAC1208610" u="1"/>
        <s v="PAC1208611" u="1"/>
        <s v="PAC1209386" u="1"/>
        <s v="PAC1209387" u="1"/>
        <s v="PAC1209388" u="1"/>
        <s v="PAC1209389" u="1"/>
        <s v="PAC1209391" u="1"/>
        <s v="PAC1209531" u="1"/>
        <s v="PAC1209547" u="1"/>
        <s v="PAC1209548" u="1"/>
        <s v="PAC1209550" u="1"/>
        <s v="PAC1209556" u="1"/>
        <s v="PAC1209557" u="1"/>
        <s v="PAC1209558" u="1"/>
        <s v="PAC1209567" u="1"/>
        <s v="PAC1209568" u="1"/>
        <s v="PAC1209570" u="1"/>
        <s v="PAC1209571" u="1"/>
        <s v="PAC1209576" u="1"/>
        <s v="PAC1209864" u="1"/>
        <s v="PAC1209869" u="1"/>
        <s v="PAC1209870" u="1"/>
        <s v="PAC1209933" u="1"/>
        <s v="PAC1209934" u="1"/>
        <s v="PAC1209954" u="1"/>
        <s v="PAC1210048" u="1"/>
        <s v="PAC1210050" u="1"/>
        <s v="PAC1210051" u="1"/>
        <s v="PAC1210052" u="1"/>
        <s v="PAC1210053" u="1"/>
        <s v="PAC1210054" u="1"/>
        <s v="PAC1210055" u="1"/>
        <s v="PAC1210056" u="1"/>
        <s v="PAC1210057" u="1"/>
        <s v="PAC1210058" u="1"/>
        <s v="PAC1210059" u="1"/>
        <s v="PAC1210060" u="1"/>
        <s v="PAC1210068" u="1"/>
        <s v="PAC1210069" u="1"/>
        <s v="PAC1210070" u="1"/>
        <s v="PAC1210071" u="1"/>
        <s v="PAC1210072" u="1"/>
        <s v="PAC1210073" u="1"/>
        <s v="PAC1210074" u="1"/>
        <s v="PAC1210076" u="1"/>
        <s v="PAC1210077" u="1"/>
        <s v="PAC1210078" u="1"/>
        <s v="PAC1210080" u="1"/>
        <s v="PAC1210177" u="1"/>
        <s v="PAC1210178" u="1"/>
        <s v="PAC1210182" u="1"/>
        <s v="PAC1210185" u="1"/>
        <s v="PAC1210186" u="1"/>
        <s v="PAC1210187" u="1"/>
        <s v="PAC1210188" u="1"/>
        <s v="PAC1210190" u="1"/>
        <s v="PAC1210193" u="1"/>
        <s v="PAC1210196" u="1"/>
        <s v="PIPE1208537" u="1"/>
        <s v="PIPE1208538" u="1"/>
      </sharedItems>
    </cacheField>
    <cacheField name="InvestmentName" numFmtId="0">
      <sharedItems containsBlank="1" count="5841">
        <s v="INVESTMENT 00448"/>
        <s v="INVESTMENT 00318"/>
        <s v="INVESTMENT 00579"/>
        <s v="INVESTMENT 00441"/>
        <s v="INVESTMENT 00489"/>
        <s v="INVESTMENT 00546"/>
        <s v="INVESTMENT 00525"/>
        <s v="INVESTMENT 00523"/>
        <s v="INVESTMENT 00522"/>
        <s v="INVESTMENT 00513"/>
        <s v="INVESTMENT 00435"/>
        <s v="INVESTMENT 00483"/>
        <s v="INVESTMENT 00576"/>
        <s v="INVESTMENT 00575"/>
        <s v="INVESTMENT 00450"/>
        <s v="INVESTMENT 00460"/>
        <s v="INVESTMENT 00437"/>
        <s v="INVESTMENT 00454"/>
        <s v="INVESTMENT 00492"/>
        <s v="INVESTMENT 00498"/>
        <s v="INVESTMENT 00505"/>
        <s v="INVESTMENT 00663"/>
        <s v="INVESTMENT 00040"/>
        <s v="INVESTMENT 00186"/>
        <s v="INVESTMENT 00187"/>
        <s v="INVESTMENT 00241"/>
        <s v="INVESTMENT 00041"/>
        <s v="INVESTMENT 00072"/>
        <s v="INVESTMENT 00238"/>
        <s v="INVESTMENT 00422"/>
        <s v="INVESTMENT 00423"/>
        <s v="INVESTMENT 00196"/>
        <s v="INVESTMENT 00104"/>
        <s v="INVESTMENT 00044"/>
        <s v="INVESTMENT 00206"/>
        <s v="INVESTMENT 00117"/>
        <s v="INVESTMENT 00205"/>
        <s v="INVESTMENT 00204"/>
        <s v="INVESTMENT 00118"/>
        <s v="INVESTMENT 00225"/>
        <s v="INVESTMENT 00428"/>
        <s v="INVESTMENT 00686"/>
        <s v="INVESTMENT 00682"/>
        <s v="INVESTMENT 00685"/>
        <s v="INVESTMENT 00563"/>
        <s v="INVESTMENT 00700"/>
        <s v="INVESTMENT 00310"/>
        <s v="INVESTMENT 00688"/>
        <s v="INVESTMENT 00325"/>
        <s v="INVESTMENT 00331"/>
        <m/>
        <s v="C -AVONBRIDGE COMPRESSOR STATION- Unit 1A - Gas Turbine - N/A - Overhaul" u="1"/>
        <s v="C - LOCATION 9001 - UNIT 1D - POWER TURBINE - OVERHAUL" u="1"/>
        <s v="C -WORMINGTON COMPRESSOR STATION- Unit A - Power Turbine - N/A - Overhaul" u="1"/>
        <s v="C -ALREWAS COMPRESSOR STATION- Unit B - Starter Motor - N/A - Upgrade from gas to electric" u="1"/>
        <s v="C -CHELMSFORD COMPRESSOR STATION- Unit A - Gas Turbine - N/A - Fuel gas conditioning skid installation" u="1"/>
        <s v="C -LOCKERLEY COMPRESSOR STATION- Unit B - Valve - NRV2202 - Overhaul" u="1"/>
        <s v="C -KINGS LYNN COMPRESSOR STATION- Emissions Work - Keep Unit B  (T2 Rollover)" u="1"/>
        <s v="C -KINGS LYNN COMPRESSOR STATION- Emissions Work - C-094 Outage - Re Wheel" u="1"/>
        <s v="C -KINGS LYNN COMPRESSOR STATION- Emissions Work - C-094 Outage - Exhaust Stack" u="1"/>
        <s v="C -HUNTINGDON COMPRESSOR STATION- Emissions Work - Keep Unit C (T2 Rollover)" u="1"/>
        <s v="C -ALREWAS COMPRESSOR STATION- Unit A - Gas Turbine - N/A - Install lube oil conditioning skid" u="1"/>
        <s v="C -CAMBRIDGE COMPRESSOR STATION- Unit C - Gas Turbine - N/A - Install lube oil conditioning skid" u="1"/>
        <s v="C -WORMINGTON COMPRESSOR STATION- N/A - Gas Turbines - N/A - New Unit (Unit D)" u="1"/>
        <s v="C -WORMINGTON COMPRESSOR STATION- C-095 Outage -  Outage Asset Health 2" u="1"/>
        <s v="C -AVONBRIDGE COMPRESSOR STATION- Unit 2A - Compressor - Centrifugal - Rewheel" u="1"/>
        <s v="C -BISHOP AUCKLAND COMPRESSOR STATION- Unit A - Compressor - Centrifugal - Rewheel" u="1"/>
        <s v="C -ALREWAS COMPRESSOR STATION- Unit A - Oil System - N/A - Major Refurb" u="1"/>
        <s v="C -AYLESBURY COMPRESSOR STATION- Unit A - Oil System - N/A - Major Refurb" u="1"/>
        <s v="C -CHELMSFORD COMPRESSOR STATION- Unit B - Oil System - N/A - Major Refurb" u="1"/>
        <s v="C -DISS COMPRESSOR STATION- Unit A - Oil System - N/A - Major Refurb" u="1"/>
        <s v="C -DISS COMPRESSOR STATION- Unit C - Oil System - N/A - Major Refurb" u="1"/>
        <s v="C-AYLESBURY COMPRESSOR STATION- Unit B - Gas Turbine - N/A - Fuel gas conditioning skid installation" u="1"/>
        <s v="C - ALREWAS COMPRESSOR STATION - Unit B - Fire Supression System - Electric Water Pump System - Replace" u="1"/>
        <s v="C - FELINDRE COMPRESSOR STATION - Unit B - Fire Supression System - Electric Water Pump System - Replace" u="1"/>
        <s v="C - FELINDRE COMPRESSOR STATION - Unit C - Fire Supression System - Electric Water Pump System - Replace" u="1"/>
        <s v="C - NETHER KELLET COMPRESSOR STATION - Unit B - Fire Supression System - Electric Water Pump System - Replace" u="1"/>
        <s v="C - ALREWAS COMPRESSOR STATION - Unit C - Cab - Air Intake - Replace" u="1"/>
        <s v="C - BISHOP AUCKLAND COMPRESSOR STATION - Unit A - Cab - Air Intake - Replace" u="1"/>
        <s v="C - NETHER KELLET COMPRESSOR STATION - Unit A - Cab - Air Intake - Replace" u="1"/>
        <s v="C - Wooler -  Unit A - Cab - N/A - Survey" u="1"/>
        <s v="C - Wooler -  Unit B - Cab - N/A - Survey" u="1"/>
        <s v="C - HATTON  COMPRESSOR STATION - Unit A - Cab - N/A - Survey" u="1"/>
        <s v="C - CHURCHOVER  COMPRESSOR STATION - Unit D - Cab - N/A - Survey" u="1"/>
        <s v="C - AYLESBURY  COMPRESSOR STATION - Unit A - Cab - N/A - Survey" u="1"/>
        <s v="C - Hatton - Unit D - Variable Speed Drive - HV Motor - Overhaul" u="1"/>
        <s v="C - Churchover - Unit E - Variable Speed Drive - HV Motor - EX'p' Pressurisation Test" u="1"/>
        <s v="C - Hatton - Unit D - Variable Speed Drive - HV Motor - EX'p' Pressurisation Test" u="1"/>
        <s v="C - Hatton - Unit D - Variable Speed Drive - HV Cables - Remediation" u="1"/>
        <s v="C - Churchover - Unit E - Variable Speed Drive - Harmonic Filter Trench Relays - Replacement" u="1"/>
        <s v="C - Kirriemuir - Unit E - Variable Speed Drive - Harmonic Filter Trench Relays - Replacement" u="1"/>
        <s v="C - Wormington - Unit C - Variable Speed Drive - Harmonic Filter Trench Relays - Replacement" u="1"/>
        <s v="C-LOCATION 9001 - GAS COMPRESSOR - EMSSION COMPLIANCE" u="1"/>
        <s v="C-LOCATION 9001 - GAS COMPRESSOR - EMISSION COMPLIANCE  - UNIT 1A" u="1"/>
        <s v="C-LOCATION 9001 - GAS COMPRESSOR - EMISSION COMPLIANCE  - UNIT 2B" u="1"/>
        <s v="C -LOCATION 9001 - VENTING SYSTEM - SURVEY - TERMINAL PLANT 3" u="1"/>
        <s v="C-LOCATION 9001 -SITE LIGHTING- REPLACEMENT" u="1"/>
        <s v="C - LOCATION 9001 - FIRE FIGHTING EQUIPMENT - FIRE WATER SYSTEM REPLACEMENT" u="1"/>
        <s v="C-LOCATION 9001 - INSTRUMENT AIR / N2 SYSTEM REPLACEMENT" u="1"/>
        <s v="C - LOCATION 9001 - UNIT 3A - VSD CONTROLLER - REPLACEMENT" u="1"/>
        <s v="C - LOCATION 9001 - UNIT 3B - VSD CONTROLLER - REPLACEMENT" u="1"/>
        <s v="C - LOCATION 9001 - UNIT 3A - OVERSPEED MODULES - SPARES" u="1"/>
        <s v="C - LOCATION 9001 -PIG TRAP - REMOVAL - PIG TRAP B" u="1"/>
        <s v="C-PLANT 3 CONTAINER HVAC SYSTEM - REPLACEMENT  - UNIT 3A 5.32kV SWITCHGEAR" u="1"/>
        <s v="C -LOCATION 9001 - STANDBY GENERATORS - STANDBY GENERATORS REFURBISHMENT -PLANT 2" u="1"/>
        <s v="C - LOCATION 9001 - UNIT 3B - HARMONIC FILTER - MINOR REFURB   - NT60113BHF-HARMCTRL5TH" u="1"/>
        <s v="C - LOCATION 9001 - UNIT 3A - DRY GAS SEAL - REPLACEMENT" u="1"/>
        <s v="C- LOCATION 9001 - CATHODIC PROTECTION - CP&amp;CIPS - SURVEY AND REPAIR" u="1"/>
        <s v="C - LOCATION 9001 FILTER PSSR INSPECTION AND RECTIFICATION-MAIN FUEL GAS FILTER B 3B" u="1"/>
        <s v="C - LOCATION 9001 FILTER PSSR INSPECTION AND RECTIFICATION-MAIN FUEL GAS FILTER E" u="1"/>
        <s v="C - LOCATION 9001 FILTER PSSR INSPECTION AND RECTIFICATION-MAIN FUEL GAS FILTER H" u="1"/>
        <s v="C - LOCATION 9001 FILTER PSSR INSPECTION AND RECTIFICATION-PRA/FUEL GAS FILTER" u="1"/>
        <s v="C - LOCATION 9001 FILTER PSSR INSPECTION AND RECTIFICATION-ST/BY GENERATOR FUEL GAS FILTER" u="1"/>
        <s v="C- LOCATION 9001 - PIG TRAP- MAJOR PSSR INSPECTION - PIG TRAP D" u="1"/>
        <s v="C-LOCATION 9001 - INSTRUMENT AIR / N2 SYSTEM REPLACEMENT-AIR COMPRESSOR PACKAGE 3A" u="1"/>
        <s v="C-LOCATION 9001 - DECOMISSION REDUNDANT ASSETS - NITROGEN TANK" u="1"/>
        <s v="C-LOCATION 9001 - DECOMISSION REDUNDANT ASSETS - PLANT 1 WATER BATH HEATER" u="1"/>
        <s v="C-LOCATION 9001 - DECOMISSION REDUNDANT ASSETS - PLANT 2 WATER BATH HEATER" u="1"/>
        <s v="C-LOCATION 9001 - DECOMISSION REDUNDANT ASSETS - PLANT 2 ENERGY PODS" u="1"/>
        <s v="C-LOCATION 9001 - DECOMISSION REDUNDANT ASSETS - PRAS WATERBATH HEATER" u="1"/>
        <s v="C-LOCATION 9001 - PLANT 2 AFTERCOOLER - REPLACEMENT" u="1"/>
        <s v="C-LOCATION 9001 -  UNIT 3B -  REPLACEMENT OF HV ELECTRONIC PROTECTION RELAYS" u="1"/>
        <s v="C-LOCATION 9001 - NRV OVERHAUL - vol 2 - Plant 4 incomer - V44020 and V12103 (vol 2)" u="1"/>
        <s v="C-LOCATION 9001 - VALVE STRIP AND CONDITION ASSESSEMENT-36 Inch VALVE" u="1"/>
        <s v="C-LOCATION 9001 ELECTRIC DRIVES - MOTOR HOOD GASKET REPLACEMENT  - UNIT 3A - GASKET REPLACEMENT" u="1"/>
        <s v="C-LOCATION 9001 ELECTRIC DRIVES - MOTOR HOOD GASKET REPLACEMENT  - UNIT 3B - GASKET REPLACEMENT" u="1"/>
        <s v="C - HATTON COMPRESSOR STATION - Unit D - Variable Speed Drive - Frequency Converter - Major Refurbishment" u="1"/>
        <s v="C - FELINDRE COMPRESSOR STATION - Unit A - Variable Speed Drive - Cooling System - Survey" u="1"/>
        <s v="C - LOCKERLY COMPRESSOR STATION - Unit A - Variable Speed Drive - Cooling System - Survey" u="1"/>
        <s v="C - FELINDRE  COMPRESSOR STATION - Unit C - Cab - Ventilation - Replace" u="1"/>
        <s v="C - BISHOP AUCKLAND  COMPRESSOR STATION - Unit A - Cab - Ventilation - Replace" u="1"/>
        <s v="C - NETHER KELLET  COMPRESSOR STATION - Unit A - Cab - Ventilation - Replace" u="1"/>
        <s v="C -PETERBOROUGH COMPRESSOR STATION- Unit E - Gas Turbine - N/A - Install BAM 2.0" u="1"/>
        <s v="C -CAMBRIDGE COMPRESSOR STATION- Unit C - Crane - N/A - Install Upgrade to electic" u="1"/>
        <s v="C -HUNTINGDON COMPRESSOR STATION- Unit D - Exhaust Muffler - N/A - Replacement" u="1"/>
        <s v="C -PETERBOROUGH COMPRESSOR STATION- Unit D - Exhaust Muffler - N/A - Replacement" u="1"/>
        <s v="C -DISS COMPRESSOR STATION- Unit A - Bearing - Major Refurb" u="1"/>
        <s v="C -CARNFORTH COMPRESSOR STATION- Station - Valve - V725601 - Overhaul" u="1"/>
        <s v="C -WOOLER COMPRESSOR STATION- Unit A - Valve - NT7250UASP - Overhaul" u="1"/>
        <s v="C -WOOLER COMPRESSOR STATION- Unit B - Valve - NT7250UBSP - Overhaul" u="1"/>
        <s v="Dummy  LOCATION 09999 Tier 1 T2 UM" u="1"/>
        <s v="C -ABERDEEN COMPRESSOR STATION- Unit C - Power Turbine - N/A - Overhaul" u="1"/>
        <s v="C -HATTON COMPRESSOR STATION- Unit D - Inlet Strainer - N/A - Removal" u="1"/>
        <s v="C - WORMINGTON COMPRESSOR STATION - NRV replacement - NT7260STDP-NRV1219" u="1"/>
        <s v="C - WORMINGTON COMPRESSOR STATION - NRV replacement - NT7260UBDP-NRV4001" u="1"/>
        <s v="C - Bishop Auckland Compressor Station - Unit B - Buildings - Replace Cab Doors" u="1"/>
        <s v="C - Aberdeen Compressor Station - Unit B - Gas Turbine - Replace flexible hose assemblies" u="1"/>
        <s v="C - Aberdeen Compressor Station - Unit A - Valves - Implement automatic stroking on Fuel Metering Valves" u="1"/>
        <s v="C - Bishop Auckland Compressor Station - Unit A - Valves - Implement automatic stroking on Fuel Metering Valves" u="1"/>
        <s v="C - Bishop Auckland Compressor Station - Unit B - Valves - Implement automatic stroking on Fuel Metering Valves" u="1"/>
        <s v="C - Aberdeen Compressor Station - Unit A - Valves - Replace LM2500+ Fuel Gas Valves" u="1"/>
        <s v="C - Carnforth Compressor Station - Unit C - Gas Turbine - Replace Frame mounted Accelerometer" u="1"/>
        <s v="C - Aberdeen Compressor Station - Unit A - Gas Turbine - Replace PT bearing sump chip detector" u="1"/>
        <s v="C - Aberdeen Compressor Station - Unit A - Gas Turbine - Update HMI with HP Recoup Calculations" u="1"/>
        <s v="C - Aberdeen Compressor Station - Unit C - Gas Turbine - Update HMI with HP Recoup Calculations" u="1"/>
        <s v="C - Bishop Auckland Compressor Station - Unit A - Gas Turbine - Update HMI with HP Recoup Calculations" u="1"/>
        <s v="C - Avonbridge Compressor Station - Gas Turbine - Update HMI with HP Recoup Calculations" u="1"/>
        <s v="C - Wooler Compressor Station - Unit A - Gas Turbine - Update HMI with HP Recoup Calculations" u="1"/>
        <s v="C - Wooler Compressor Station - Unit B - Gas Turbine - Update HMI with HP Recoup Calculations" u="1"/>
        <s v="C - Peterborough Compressor Station - Gas Turbine - Enhanced Emissions Control" u="1"/>
        <s v="C - Felindre Compressor Station - Unit B - Gas Turbine - Install seal gas booster" u="1"/>
        <s v="C - Peterborough Compressor Station - Unit D - Gas Turbine - Install seal gas booster" u="1"/>
        <s v="C - Huntingdon Compressor Station - Unit D - Gas Turbine - Install seal gas booster" u="1"/>
        <s v="C - Carnforth Compressor Station - Unit C - Gas Turbine - Replace Ignitor Box" u="1"/>
        <s v="C - Aberdeen Compressor Station - Unit A - Gas Turbine - Replace Ignitor Box" u="1"/>
        <s v="C - Bishop Auckland Compressor Station - Unit A - Gas Turbine - Replace Ignitor Box" u="1"/>
        <s v="C - Bishop Auckland Compressor Station - Unit B - Gas Turbine - Replace Ignitor Box" u="1"/>
        <s v="C - Felindre Compressor Station - Gas Turbine - Rectify Combustion and Air Inlet Drains" u="1"/>
        <s v="C - Wormington Compressor Station - Gas Turbine - Survey Thrust Unloader" u="1"/>
        <s v="C - Bishop Auckland Compressor Station - Unit A - Gas Turbine - Replace Inconel Bolts for Exhaust to transition piece" u="1"/>
        <s v="C - Felindre Compressor Station - Unit B - Exhaust Muffler - N/A - Replacement" u="1"/>
        <s v="C - BISHOP AUCKLAND COMPRESSOR STATION - VENTING SYSTEM - Vent Stack Survey" u="1"/>
        <s v="C - CAMBRIDGE COMPRESSOR STATION - VENTING SYSTEM - Vent Stack Survey" u="1"/>
        <s v="C - CHELMSFORD COMPRESSOR STATION - VENTING SYSTEM - Vent Stack Survey" u="1"/>
        <s v="C - DISS COMPRESSOR STATION - VENTING SYSTEM - Vent Stack Survey" u="1"/>
        <s v="C - PETERBOROUGH COMPRESSOR STATION - VENTING SYSTEM - Vent Stack Survey" u="1"/>
        <s v="C -WISBECH COMPRESSOR STATION- Unit A - Compressor - N/A - Decommission Unit" u="1"/>
        <s v="C -DISS COMPRESSOR STATION- Unit A - Compressor - N/A - Performance Testing" u="1"/>
        <s v="C -LOCKERLEY COMPRESSOR STATION- Unit A - Compressor - Centrifugal - Rewheel" u="1"/>
        <s v="C -LOCKERLEY COMPRESSOR STATION- Unit B - Compressor - Centrifugal - Rewheel" u="1"/>
        <s v="C -KINGS LYNN COMPRESSOR STATION- Unit B - Seal - Major Refurb" u="1"/>
        <s v="C -AYLESBURY COMPRESSOR STATION- Unit A - Bearing - Major Refurb" u="1"/>
        <s v="C -AYLESBURY COMPRESSOR STATION- Unit B - Bearing - Major Refurb" u="1"/>
        <s v="C -KINGS LYNN COMPRESSOR STATION- Unit B - Bearing - Major Refurb" u="1"/>
        <s v="C -WORMINGTON COMPRESSOR STATION- Unit B - Bearing - Major Refurb" u="1"/>
        <s v="C-LOCATION 9001 Valve replacement -ABOVE GROUND - 24 Inch HZV6213" u="1"/>
        <s v="C-LOCATION 9001 Valve replacement -BURIED - 30 Inch V21012" u="1"/>
        <s v="C-LOCATION 9001 Valve replacement -BURIED - 30 Inch V21032" u="1"/>
        <s v="C-LOCATION 9001 Valve replacement -BURIED - 36 Inch V43010" u="1"/>
        <s v="C-LOCATION 9001 Valve replacement -PIT- 24 Inch V12021" u="1"/>
        <s v="C-LOCATION 9001 Valve replacement -PIT- 24 Inch V14004" u="1"/>
        <s v="C- LOCATION 9001 Actuator replacement  - BURIED - 48 Inch 601350" u="1"/>
        <s v="C- LOCATION 9001 Valve and Actuator replacement -ABOVE GROUND - 8 Inch V21024 FCV" u="1"/>
        <s v="C- LOCATION 9001 Valve and Actuator replacement -ABOVE GROUND - 6 Inch V22018 FCV" u="1"/>
        <s v="C- LOCATION 9001 Valve and Actuator replacement -ABOVE GROUND - 36 Inch 601301VLV" u="1"/>
        <s v="C- LOCATION 9001 Valve and Actuator replacement -ABOVE GROUND - 36 Inch 601303VLV" u="1"/>
        <s v="C- LOCATION 9001 Valve and Actuator replacement -ABOVE GROUND - 36 Inch 601311VLV" u="1"/>
        <s v="C- LOCATION 9001 Valve and Actuator replacement -ABOVE GROUND - 36 Inch 601312VLV" u="1"/>
        <s v="C- LOCATION 9001 Valve and Actuator replacement -ABOVE GROUND - 18 Inch 601314VLV" u="1"/>
        <s v="C- LOCATION 9001 Valve and Actuator replacement -ABOVE GROUND - 18 Inch 601317VLV" u="1"/>
        <s v="C- LOCATION 9001 Valve and Actuator replacement -BURIED - 36 Inch V14006" u="1"/>
        <s v="C- LOCATION 9001 Valve and Actuator replacement -BURIED - 36 Inch V24007" u="1"/>
        <s v="C- LOCATION 9001 Valve and Actuator replacement - PIT- 8 Inch V22212 FCV" u="1"/>
        <s v="C- LOCATION 9001 Valve and Actuator replacement - PIT- 6 Inch V22206 FCV" u="1"/>
        <s v="C- LOCATION 9001 Valve and Actuator replacement - PIT- 6 Inch V23137 FCV" u="1"/>
        <s v="C- LOCATION 9001 Valve and Actuator replacement - PIT- 10 Inch V22005 FCV" u="1"/>
        <s v="C- LOCATION 9001 Valve and Manual gearbox replacement  - BURIED - 30 Inch V21011" u="1"/>
        <s v="C- LOCATION 9001 Valve and Manual gearbox replacement  - BURIED - 30 Inch V21021" u="1"/>
        <s v="C- LOCATION 9001 Valve and Manual gearbox replacement  - PIT- 30 Inch V12405" u="1"/>
        <s v="C- LOCATION 9001 Valve and Handpump replacement  - ABOVE GROUND - 36 Inch 601304VLV" u="1"/>
        <s v="C- LOCATION 9001 Manual gear box replacement - ABOVE - 48 Inch 601349ACT" u="1"/>
        <s v="C-LOCATION 9001 New Valve and Manual gearbox installation -BURIED - 36 Inch NEW ASSET A - Incomer 1" u="1"/>
        <s v="C-LOCATION 9001 New Valve and Actuator HIPPS compliant -BURIED - 36 Inch NEW ASSET A -Incomer 4" u="1"/>
        <s v="C-LOCATION 9001 New Valve and Actuator HIPPS compliant -BURIED - 36 Inch V41002" u="1"/>
        <s v="C - LOCATION 9001 - PIPELINE PROTECTION - CP INSULATION JOINT REPLACEMENT - FEEDER 12 IJ" u="1"/>
        <s v="C- LOCATION 9001 -  RE-ROUTE PIPEWORK THROUGH PITWALL TRANSITIONS  - INCOMER 2 - PWT B" u="1"/>
        <s v="C- LOCATION 9001 -  RE-ROUTE PIPEWORK THROUGH PITWALL TRANSITIONS  - PLANT 2 -PWT A" u="1"/>
        <s v="C-HATTON COMPRESSOR STATION- Unit C-Gas Turbine-Decommissioning-C-343" u="1"/>
        <s v="C - WEST - Asbestos - Asbestos Management Survey (Small Site) - C-179 - Draw Down" u="1"/>
        <s v="C - WEST - Vent System - Vent System Pipework Corrosion/P11 Major Refurbishment - C-235 - Draw Down" u="1"/>
        <s v="C - WEST - Vent Valve - Modulating Vent Valve Overhaul - C-127 - Draw Down" u="1"/>
        <s v="C - WEST - Compressor - Compressor Dry Gas Seal Major Refurbishment - C-078 - Draw Down" u="1"/>
        <s v="C - EAST - Asbestos - Asbestos Condition Survey (Small Site) - C-181 - Draw Down" u="1"/>
        <s v="C - EAST - Compressor - Compressor Dry Gas Seal Major Refurbishment - C-078 - Draw Down" u="1"/>
        <s v="C - EAST - N2 Snuffing - N2 Snuffing &amp; Molecular Seal Major Refurbishment - C-237 - Draw Down" u="1"/>
        <s v="C - NORTH - Asbestos - Asbestos Condition Survey (Small Site) - C-181 - Draw Down" u="1"/>
        <s v="C - NORTH - Asbestos - Asbestos Condition Survey (Large Site) - C-180 - Draw Down" u="1"/>
        <s v="C - NORTH - Vent System - Vent System Pipework Corrosion/P11 Major Refurbishment - C-235 - Draw Down" u="1"/>
        <s v="C -KINGS LYNN COMPRESSOR STATION- Emissions Work - C-094 Outage - Re Wheel Unit C" u="1"/>
        <s v="C-LOCATION 9001 Terminal-LOCATION 9001 Repair Roads-C-378" u="1"/>
        <s v="C - LOCATION 9001 TERMINAL - Above Ground Pipework Grit, Blast and Painting Areas 3 and 6 - C-385" u="1"/>
        <s v="C - WEST - Mobile flaring for recompressions - Draw Down" u="1"/>
        <s v="C -DISS COMPRESSOR STATION- Station - Valve - NRV1005 - Overhaul" u="1"/>
        <s v="C -ALREWAS COMPRESSOR STATION- Unit C - Valve - NRV2504 - Overhaul" u="1"/>
        <s v="C -KIRRIEMUIR COMPRESSOR STATION- Unit B - Gas Turbine - N/A - Fuel gas conditioning skid installation" u="1"/>
        <s v="C - NORTH - Air Intake Replacement - Draw Down" u="1"/>
        <s v="C - WEST - Cab Exhaust Replacement - Draw Down" u="1"/>
        <s v="C - NORTH - Cab Surveys (To inform T4) - Draw Down" u="1"/>
        <s v="C - WEST - Gas Generator Overhauls - Rolls-Royce Avons - Draw Down" u="1"/>
        <s v="C - EAST - Power Turbine Overhauls - Dresser Vectra - Draw Down" u="1"/>
        <s v="C - NORTH - Power Turbine Overhauls - Dresser Vectra - Draw Down" u="1"/>
        <s v="C - NORTH - Upgrade Gas Powered Starter Motors To Electric - Draw Down" u="1"/>
        <s v="C - WEST - Upgrade Gas Powered Starter Motors To Electric - Draw Down" u="1"/>
        <s v="C - EAST - Install Fuel Gas Conditioning Skids - Draw Down" u="1"/>
        <s v="C - WEST - Install Fuel Gas Conditioning Skids - Draw Down" u="1"/>
        <s v="C - NORTH - Install Lube Oil Conditioning Skids - Draw Down" u="1"/>
        <s v="C - EAST - Impeller Major Refurb - Draw Down" u="1"/>
        <s v="C - WEST - Impeller Major Refurb - Draw Down" u="1"/>
        <s v="C - WEST - Compressor Performance Testing - Draw Down" u="1"/>
        <s v="C - EAST - Inlet strainers removal - Draw Down" u="1"/>
        <s v="C - EAST - Electric Drives - Frequency Converter - Major Refurb - Draw Down" u="1"/>
        <s v="C - NORTH - Electric Drives - Frequency Converter - Major Refurb - Draw Down" u="1"/>
        <s v="C - WEST - Electric Drives - Frequency Converter - Major Refurb - Draw Down" u="1"/>
        <s v="C - NORTH - Electric Drives - Harmonic Filter - Minor Refurb - Draw Down" u="1"/>
        <s v="C - WEST - Electric Drives - Power Cables Remediation And Earthing - Draw Down" u="1"/>
        <s v="C - NORTH - Electric Drives - Verification and Re-validation of HV Motor EX'p' pressurisation System - Draw Down" u="1"/>
        <s v="C - WEST - Electric Drives - Verification and Re-validation of HV Motor EX'p' pressurisation System - Draw Down" u="1"/>
        <s v="C - NORTH - Compressor Rewheel - Draw Down" u="1"/>
        <s v="C - NORTH - Electric Drives - Cables Testing - Draw Down" u="1"/>
        <s v="C - WEST - Electric Drives - Cables Testing - Draw Down" u="1"/>
        <s v="C - EAST - Electric Drives - HV Motor Overhaul - Draw Down" u="1"/>
        <s v="C - EAST - GG/PT/Compressor Oil System Major Refurb - Draw Down" u="1"/>
        <s v="C - EAST - Electric Drives - Cooling Systems Survey - Draw Down" u="1"/>
        <s v="C - NORTH - Electric Drives - Cooling Systems Survey - Draw Down" u="1"/>
        <s v="C - WEST - Electric Drives - Cooling Systems Survey - Draw Down" u="1"/>
        <s v="C - EAST - Exhaust Muffler Replacement - Draw Down" u="1"/>
        <s v="C - NORTH - Compressor Overhauls (GE HSPT) - Draw Down" u="1"/>
        <s v="C - EAST - Catalytic Converter Replacement - Draw Down" u="1"/>
        <s v="C - WEST - Catalytic Converter Replacement - Draw Down" u="1"/>
        <s v="C - NORTH - Replace Exhaust Lagging - Draw Down" u="1"/>
        <s v="C - EAST - Replace flexible hose assemblies - Draw Down" u="1"/>
        <s v="C - NORTH - Replace flexible hose assemblies - Draw Down" u="1"/>
        <s v="C - EAST - Implement automatic stroking on Fuel Metering Valves - Draw Down" u="1"/>
        <s v="C - WEST - Replace Frame mounted Accelerometer - Draw Down" u="1"/>
        <s v="C - EAST - Replace PT bearing sump chip detector - Draw Down" u="1"/>
        <s v="C - WEST - Update HMI with HP Recoup Calculations - Draw Down" u="1"/>
        <s v="C - EAST - Modify Lube Oil Drain Skid - Draw Down" u="1"/>
        <s v="C - NORTH - Modify Lube Oil Drain Skid - Draw Down" u="1"/>
        <s v="C - NORTH - Install seal gas booster - Draw Down" u="1"/>
        <s v="C - WEST - Implement Anti-Choke System - Draw Down" u="1"/>
        <s v="C - EAST - Replace Ignitor Box - Draw Down" u="1"/>
        <s v="C - WEST - Replace Ignitor Box - Draw Down" u="1"/>
        <s v="C - EAST - Rectify Combustion and Air Inlet Drains - Draw Down" u="1"/>
        <s v="C - NORTH - Rectify Combustion and Air Inlet Drains - Draw Down" u="1"/>
        <s v="C - NORTH - Implement Slow Roll System and install staging valve monitoring - Draw Down" u="1"/>
        <s v="C - EAST - Compressor Rewheel - Draw Down" u="1"/>
        <s v="C - WEST - Compressor Rewheel - Draw Down" u="1"/>
        <s v="C - EAST - NRV replacement - Draw Down" u="1"/>
        <s v="C - NORTH - NRV replacement - Draw Down" u="1"/>
        <s v="C -CAMBRIDGE COMPRESSOR STATION - Unit C - Seal - Major Refurb" u="1"/>
        <s v="C -AVONBRIDGE COMPRESSOR STATION - Unit 1A - Seal - Major Refurb" u="1"/>
        <s v="Cu-001 - THEDDLETHORPE TO HATTON 17 - Biomethane Connection" u="1"/>
        <s v="Cu-001 - SUSWORTH TRENT EAST TO HATTON 07 - Biomethane Connection" u="1"/>
        <s v="Cu-001 - AVONMOUTH - Entry / Exit Connection" u="1"/>
        <s v="Cu-001 - YAFFORTH TO TOWTON 13 - Entry / Exit Connection" u="1"/>
        <s v="Cu-003 - LOCATION 09999 TO WISBECH NENE WEST 04 - Diversion" u="1"/>
        <s v="Se-Hams Lane-ISS Hardware Refresh - Draw Down" u="1"/>
        <s v="Se-Lupton Multijuction-Input Device-GSMR Analyser Lupton Multijunction (South)-Stream 1-Replacement" u="1"/>
        <s v="Se-Pickering-Input Device-GSMR Analyser-Replacement" u="1"/>
        <s v="Se-LOCATION 9001-Input Device-GSMR Analyser LOCATION 9001 F13-Replacement" u="1"/>
        <s v="Se-LOCATION 9001-Input Device-GSMR Analyser LOCATION 9001 Shell-Replacement" u="1"/>
        <s v="Se-LOCATION 9001-Input Devices-FWACV Meter-Replacement" u="1"/>
        <s v="Se-Warburton-Input Device-GSMR Analyser-Replacement" u="1"/>
        <s v="Se - Aberdeen - Uninteruptable Power Supply - Replacement - ISS" u="1"/>
        <s v="Se - Kings Lynn Compressor - Uninteruptable Power Supply - Replacement - ISS" u="1"/>
        <s v="Se - Kirriemuir - Uninteruptable Power Supply - Replacement - ISS" u="1"/>
        <s v="Se - Michelmersh - Uninteruptable Power Supply - Replacement - ISS" u="1"/>
        <s v="Se - Nether Kellet - Uninteruptable Power Supply - Replacement - ISS" u="1"/>
        <s v="Se - Tilbury Thames North - Uninteruptable Power Supply - Replacement - ISS" u="1"/>
        <s v="Se-Aylesbury-Control System-Station-Replacement" u="1"/>
        <s v="Se-Wooler-Control System-Station-Replacement" u="1"/>
        <s v="Se - Blackness - ISS Hardware - Refresh" u="1"/>
        <s v="Se - Crieff - ISS Hardware - Refresh" u="1"/>
        <s v="Se - Michelmersh - ISS Hardware - Refresh" u="1"/>
        <s v="Se - Sapperton - ISS Hardware - Refresh" u="1"/>
        <s v="Se - Shangton - ISS Hardware - Refresh" u="1"/>
        <s v="Se - Shocklach - ISS Hardware - Refresh" u="1"/>
        <s v="Se - TREADDOW - ISS Technical - Refresh" u="1"/>
        <s v="Se - Willington - ISS Hardware - Refresh" u="1"/>
        <s v="Se - Nether Kellet - ISS Technical - Refresh" u="1"/>
        <s v="Se-Audley-Input Devices-GSMR Analyser 4 week site outage-Stream 1-Replacement" u="1"/>
        <s v="Se-Aberdeen-Input Devices-CV Monitor-Replacement" u="1"/>
        <s v="Se - Medway Power - ISS New Solution" u="1"/>
        <s v="Se - Braintree - ISS New Solution" u="1"/>
        <s v="Se - Longridge - ISS New Solution" u="1"/>
        <s v="Se-Ilchester-Control Logic Units-Site Telemetry-Replacement" u="1"/>
        <s v="Se-Medway-Control Logic Units-Site Telemetry-Replacement" u="1"/>
        <s v="Se-Aldbrough-Control Logic Units-Site Telemetry-Replacement" u="1"/>
        <s v="Se-Pennington-Control Logic Units-Site Telemetry-Replacement" u="1"/>
        <s v="Se-Hollinsgreen-Control Logic Units-Site Telemetry-Replacement" u="1"/>
        <s v="Se-Keadby-Control Logic Units-Site Telemetry-Replacement" u="1"/>
        <s v="Se-Aberdeen-Input Devices-Compressor Fuel Gas-Replacement" u="1"/>
        <s v="Se- Burton Point-Station-Supply Point Metering-Replacement(1)" u="1"/>
        <s v="Se- Centrax OT-Station-Supply Point Metering-Replacement(1)" u="1"/>
        <s v="Se- Weston Point-Station-Supply Point Metering-Replacement (1)" u="1"/>
        <s v="Se- LITTLE BARFORD POWER STATION- Supply Point Metering-Replacement (1)" u="1"/>
        <s v="Se- STALLINGBOROUGH-Supply Point Metering-Replacement(1)" u="1"/>
        <s v="Se- HATTON-Input Device-FCV Metering-Replacement(1)" u="1"/>
        <s v="Se- PETERBOROUGH COMPRESSOR STATION-Input Device-FCV Metering-Replacement(1)" u="1"/>
        <s v="Se-Hatton-Input Device-Station Metering-Replacement" u="1"/>
        <s v="Se- ABERDEEN COMPRESSOR STATION-Input Device-Station-Replacement(1)" u="1"/>
        <s v="Se-Huntingdon-Input Devices-Station Metering-Replacement" u="1"/>
        <s v="Se-Nether Kellet-Input Devices-Station Metering-Replacement" u="1"/>
        <s v="Se- AVONBRIDGE COMPRESSOR STATION-Control System-Unit 1A-Replacement (T2 Rollover)" u="1"/>
        <s v="Se- AVONBRIDGE COMPRESSOR STATION-Control System-Unit 2A-Replacement (T2 Rollover)" u="1"/>
        <s v="Se- BISHOP AUCKLAND COMPRESSOR STATION-Control System-Unit A-Replacement (T2 Rollover)" u="1"/>
        <s v="Se- BISHOP AUCKLAND COMPRESSOR STATION-Control System-Unit B-Replacement (T2 Rollover)" u="1"/>
        <s v="Se- HATTON COMPRESSOR STATION-Control System-Unit D-Replacement (T2 Rollover)" u="1"/>
        <s v="Se- WORMINGTON COMPRESSOR STATION-Control System-Station-Replacement (T2 Rollover)" u="1"/>
        <s v="Se-LEAMINGTON -Control Logic Units-Site Telemetry-Replacement" u="1"/>
        <s v="Se-PICKERING -Control Logic Units-Site Telemetry-Replacement" u="1"/>
        <s v="Se - Stowmarket Pig Trap - ISS New Solution" u="1"/>
        <s v="Se - Location - SALHOUSE - ISS New Solution" u="1"/>
        <s v="Se - Location - STOCKCROSS - ISS New Solution" u="1"/>
        <s v="Se - NORTH - Spares - Cyber Telemetry Strategic Spares" u="1"/>
        <s v="Se- KIRRIEMUIR COMPRESSOR STATION-Control System- Unit A-Replacement (T2 Rollover)" u="1"/>
        <s v="Se- KIRRIEMUIR COMPRESSOR STATION-Control System- Unit E-Replacement (T2 Rollover)" u="1"/>
        <s v="Se- ALREWAS COMPRESSOR STATION-Control System-Station-Replacement (T2 Rollover)" u="1"/>
        <s v="Se- ALREWAS COMPRESSOR STATION-Control System-Unit A-Replacement (T2 Rollover)" u="1"/>
        <s v="Se- LOCATION 9001 TERMINAL-Control System-Terminal-Replacement (T2 Rollover)" u="1"/>
        <s v="Se- LOCATION 9001 TERMINAL-Control System-Unit 1B-Replacement (T2 Rollover)" u="1"/>
        <s v="Se- FELINDRE COMPRESSOR STATION-Control System-Station-Replacement (T2 Rollover)" u="1"/>
        <s v="Se- NETHER KELLET COMPRESSOR STATION-Control System-Unit A-Replacement" u="1"/>
        <s v="Se- CARNFORTH COMPRESSOR STATION-Control System-Unit C-Replacement" u="1"/>
        <s v="Se - NORTH - Cyber Control System Strategic Spares" u="1"/>
        <s v="Se- ABERDEEN COMPRESSOR STATION-Input Device-Station-Replacement(2)" u="1"/>
        <s v="Se- TREADDOW-Input Devices-N/A-Replacement(1)" u="1"/>
        <s v="Se- PETERBOROUGH POWER STATION-Input Devices-N/A-Replacement" u="1"/>
        <s v="Se-Carrington-Control Logic Units-N/A-Replacement" u="1"/>
        <s v="Se-Ross-Control Logic Units-N/A-Replacement" u="1"/>
        <s v="Se-Eccleston-Control Logic Units-N/A-Replacement" u="1"/>
        <s v="Se-Cirencester-Control Logic Units-N/A-Replacement" u="1"/>
        <s v="Se-Thornton Curtis-Control Logic Units-N/A-Replacement" u="1"/>
        <s v="Se-Beltfoft-Control Logic Units-N/A-Replacement" u="1"/>
        <s v="Se-Newbold Pacey-Control Logic Units-N/A-Replacement" u="1"/>
        <s v="Se-Honeybourne-Control Logic Units-N/A-Replacement" u="1"/>
        <s v="Se-Middlestoke-Control Logic Units-N/A-Replacement" u="1"/>
        <s v="Se-Silk Willoughby-Control Logic Units-N/A-Replacement" u="1"/>
        <s v="Se- ISS Major Site-Asset Refresh - Draw Down - LOCATION 09999" u="1"/>
        <s v="Se- ISS Major Site-Asset Refresh - Draw Down - LOCATION 9001" u="1"/>
        <s v="Se-Shotwick-Control Logic Units-N/A-Replacement" u="1"/>
        <s v="Se-Sproatley-Control Logic Units-N/A-Replacement" u="1"/>
        <s v="Se-Pennington-Control Logic Units-N/A-Replacement" u="1"/>
        <s v="Se-Sutton Bridge-Control Logic Units-N/A-Replacement" u="1"/>
        <s v="Se-Paull Multijunction-Control Logic Units-N/A-Replacement" u="1"/>
        <s v="Se-Grayingham-Control Logic Units-N/A-Replacement" u="1"/>
        <s v="Se-Elanfoot-Control Logic Units-N/A-Replacement" u="1"/>
        <s v="Se-St Neots-Control Logic Units-N/A-Replacement" u="1"/>
        <s v="Se-Didcot-Control Logic Units-N/A-Replacement" u="1"/>
        <s v="Se-Sapperton-Control Logic Units-N/A-Replacement" u="1"/>
        <s v="Se-Mawdsley-Control Logic Units-N/A-Replacement" u="1"/>
        <s v="Se-Pickmere-Control Logic Units-N/A-Replacement" u="1"/>
        <s v="Se-Abson-Control Logic Units-N/A-Replacement" u="1"/>
        <s v="Se-Staythorpe-Control Logic Units-N/A-Replacement" u="1"/>
        <s v="Se-Bathgate-Control Logic Units-N/A-Replacement" u="1"/>
        <s v="Se-LOCKERLEY COMPRESSOR STATION-OSS Installation-Se-77" u="1"/>
        <s v="Se-ALREWAS COMPRESSOR STATION-OSS Installation-Se-77" u="1"/>
        <s v="Se-DISS COMPRESSOR STATION-OSS Installation-Se-77" u="1"/>
        <s v="Se-WORMINGTON COMPRESSOR STATION-OT Asset Decommissioning-Se-74" u="1"/>
        <s v="Se-LOCATION 09999 TERMINAL-OT Asset Decommissioning-Se-74" u="1"/>
        <s v="Se-NETHER KELLET COMPRESSOR STATION-OT Asset Decommissioning-Se-74" u="1"/>
        <s v="Se-CARNFORTH COMPRESSOR STATION-OT Asset Decommissioning-Se-74" u="1"/>
        <s v="Se - LLANGYNOG - ISS New Solution Closeout" u="1"/>
        <s v="Se-Susworth Trent East-Control Logic Units-Site Telemetry-Replacement" u="1"/>
        <s v="Se-Stanford Le Hope -Control Logic Units-Site Telemetry-Replacement" u="1"/>
        <s v="Se-Longtown-Control Logic Units-Site Telemetry-Replacement" u="1"/>
        <s v="Se-Steppingley-Control Logic Units-Site Telemetry-Replacement" u="1"/>
        <s v="Se-Wragg Marsh-Control Logic Units-Site Telemetry-Replacement" u="1"/>
        <s v="Se-Aberdeen-Control System-Unit C Tie In-Replacement" u="1"/>
        <s v="Se - EAST - Block Valve - ISS Block Valve Removal - Se-35 - Draw Down" u="1"/>
        <s v="Se - NORTH - ISS New Solution Survey - Se-54 - Draw Down" u="1"/>
        <s v="Si-NT1755-EASTOFT-Temporary Fencing-Se-66" u="1"/>
        <s v="Si-NT1527-BRAINTREE-Temporary Fencing-Se-66" u="1"/>
        <s v="Si-NT4353-DOLPHINHOLME-Temporary Fencing-Se-66" u="1"/>
        <s v="Si-NT1511-FAIRSTEAD-Temporary Fencing-Se-66" u="1"/>
        <s v="Si-NT2041-HIGHCLERE-Temporary Fencing-Se-66" u="1"/>
        <s v="Si-NT1513-SALHOUSE-Temporary Fencing-Se-66" u="1"/>
        <s v="Si-NT2039-STOCKCROSS-Temporary Fencing-Se-66" u="1"/>
        <s v="Si-EAST-Site #27-Temporary Fencing-Se-66 - Draw Down" u="1"/>
        <s v="Si-NORTH-Site #28-Temporary Fencing-Se-66 - Draw Down" u="1"/>
        <s v="Si-WEST-Site #32-Temporary Fencing-Se-66 - Draw Down" u="1"/>
        <s v="Si-EAST-Site #33-Temporary Fencing-Se-66 - Draw Down" u="1"/>
        <s v="Si-WEST-Site #47-Temporary Fencing-Se-66 - Draw Down" u="1"/>
        <s v="Si-NORTH-Site #48-Temporary Fencing-Se-66 - Draw Down" u="1"/>
        <s v="Si-NORTH-Site #49-Temporary Fencing-Se-66 - Draw Down" u="1"/>
        <s v="SE-STUBLACH-Physical Security for OT-Se-70" u="1"/>
        <s v="SE-ABSON-Physical Security for OT-Se-70" u="1"/>
        <s v="SE-BURTON POINT-Physical Security for OT-Se-70" u="1"/>
        <s v="SE-CENTRAX OT-Physical Security for OT-Se-70" u="1"/>
        <s v="SE-EASTOFT-Physical Security for OT-Se-70" u="1"/>
        <s v="SE-GRAYINGHAM-Physical Security for OT-Se-70" u="1"/>
        <s v="SE-PETERBOROUGH COMP. TEE-Physical Security for OT-Se-70" u="1"/>
        <s v="SE-PETERBOROUGH TEE-Physical Security for OT-Se-70" u="1"/>
        <s v="SE-STALLINGBOROUGH-Physical Security for OT-Se-70" u="1"/>
        <s v="SE-WHITWELL-Physical Security for OT-Se-70" u="1"/>
        <s v="SE-CARNFORTH-Physical Security for OT-Se-70" u="1"/>
        <s v="SE-BATHGATE-Physical Security for OT-Se-70" u="1"/>
        <s v="SE-AYLESBURY-Physical Security for OT-Se-70" u="1"/>
        <s v="SE-THORNTON CURTIS 'A'-Physical Security for OT-Se-70" u="1"/>
        <s v="SE-CAMBRIDGE COMP TEE-Physical Security for OT-Se-70" u="1"/>
        <s v="SE-SADDLEBOW-Physical Security for OT-Se-70" u="1"/>
        <s v="SE-AVONBRIDGE COMPRESSOR STATION-Physical Security for OT - Access Control-Se-71" u="1"/>
        <s v="Se-LOCATION 09999-Cyber Metering MQTT Compressor Fuel Gas Sites  - East - Draw Down" u="1"/>
        <s v="Se - KEADBY POWER STATION - Local Gas Treatment - Replacement" u="1"/>
        <s v="Se- REGION 004 and North - Control Logic Units-Site Telemetry-Replacement - Se-7 - Draw Down" u="1"/>
        <s v="Se - LLANGYNOG - ISS New Solution" u="1"/>
        <s v="Se-LOCATION 9001 TERMINAL-Input Device-GSMR Analyser-F11-Replacement" u="1"/>
        <s v="Se-LOCATION 9001 TERMINAL-Input Device-GSMR Analyser-Mobil-Replacement" u="1"/>
        <s v="Se-LUPTON MULTIJUNCTION-Input Device-GSMR Analyser-(South)-Stream 2-Replacement" u="1"/>
        <s v="Se-LUPTON MULTIJUNCTION-Input Device-GSMR Analyser-(North)-Stream 3-Replacement" u="1"/>
        <s v="SE - EAST - Physical Security for OT - Se-70" u="1"/>
        <s v="Se - EAST - Cyber Minor Controls - Draw Down" u="1"/>
        <s v="Si - WEST - CCTV Network refresh - Se-69 - Draw Down" u="1"/>
        <s v="Se - WEST - OSS RTB - Se-79 - Draw Down" u="1"/>
        <s v="Se - NORTH - OSS RTB - Se-79 - Draw Down" u="1"/>
        <s v="Se - EAST - Cyber Analysers - Gsmr Replacement - Draw Down" u="1"/>
        <s v="Se - WEST - Cyber Metering Compressor Station - Draw Down" u="1"/>
        <s v="Se - EAST - ISS New Solution - Draw Down" u="1"/>
        <s v="Se - NORTH - ISS New Solution - Draw Down" u="1"/>
        <s v="Se - WEST - ISS New Solution - Draw Down" u="1"/>
        <s v="Se - NORTH - Cyber Analysers - Local Gas Treatment - Draw Down" u="1"/>
        <s v="Se - EAST - ISS Hardware Asset Refresh - Compressor Site - Draw Down" u="1"/>
        <s v="Se - WEST - ISS Hardware Asset Refresh - Compressor Site - Draw Down" u="1"/>
        <s v="Se - EAST - ISS Hardware Asset Refresh - AGI Site - Draw Down" u="1"/>
        <s v="Se - NORTH - ISS Hardware Asset Refresh - AGI Site - Draw Down" u="1"/>
        <s v="Se - WEST - ISS Technical Asset Refresh - Compressor Site - Draw Down" u="1"/>
        <s v="Se - NORTH - Cyber Metering Supply Point Metering - Draw Down" u="1"/>
        <s v="Se - EAST - Cyber Metering - ISA:62443 Compliance - Draw Down" u="1"/>
        <s v="Se - NORTH - Cyber Analysers Cv Monitoring Replacement - Draw Down" u="1"/>
        <s v="Se - EAST - Physical Security for OT - Access Control - Draw Down" u="1"/>
        <s v="Se - NORTH - OSS Installation - Draw Down" u="1"/>
        <s v="Se - EAST - Replace DC UPS (Small) - AGIs - Draw Down" u="1"/>
        <s v="Si - LONGTOWN - EOL Satellites - Se-68" u="1"/>
        <s v="Si - BLACKNESS - EOL Satellites - Se-68" u="1"/>
        <s v="Si - KIRRIEMUIR COMPRESSOR STATION - EOL Satellites - Se-68" u="1"/>
        <s v="Si - WOOLER COMPRESSOR STATION - EOL Satellites - Se-68" u="1"/>
        <s v="Si - LONGTOWN - CCTV Network refresh - Se-69" u="1"/>
        <s v="Si - ABERDEEN COMPRESSOR STATION - CCTV Network refresh - Se-69" u="1"/>
        <s v="Si - BLACKNESS - CCTV Network refresh - Se-69" u="1"/>
        <s v="Si - CRIEFF - CCTV Network refresh - Se-69" u="1"/>
        <s v="Si - CHURCHOVER COMP TEE - EOL Satellites - Se-68" u="1"/>
        <s v="Si - EAST ILSLEY - EOL Satellites - Se-68" u="1"/>
        <s v="Si - FELINDRE COMPRESSOR STATION - EOL Satellites - Se-68" u="1"/>
        <s v="Si - LOCKERLEY COMPRESSOR STATION - EOL Satellites - Se-68" u="1"/>
        <s v="Si - NETHER KELLET COMPRESSOR STATION - EOL Satellites - Se-68" u="1"/>
        <s v="Si - SHOCKLACH - EOL Satellites - Se-68" u="1"/>
        <s v="Si - SLAPTON - EOL Satellites - Se-68" u="1"/>
        <s v="Si - HUNTINGDON - EOL Satellites - Se-68" u="1"/>
        <s v="Si - LUTTON - EOL Satellites - Se-68" u="1"/>
        <s v="Si - SHANGTON - EOL Satellites - Se-68" u="1"/>
        <s v="Si - PETERBOROUGH COMPRESSOR STATION - CCTV Network refresh - Se-69" u="1"/>
        <s v="Si - SHANGTON - CCTV Network refresh - Se-69" u="1"/>
        <s v="Si - CHALGROVE - CCTV Network refresh - Se-69" u="1"/>
        <s v="Si - CHURCHOVER COMP TEE - CCTV Network refresh - Se-69" u="1"/>
        <s v="Si - HERBRANDSTON - CCTV Network refresh - Se-69" u="1"/>
        <s v="Si - KENN SOUTH - CCTV Network refresh - Se-69" u="1"/>
        <s v="Si - MICHELMERSH - CCTV Network refresh - Se-69" u="1"/>
        <s v="Si - SAPPERTON - CCTV Network refresh - Se-69" u="1"/>
        <s v="Si - TIRLEY PRI - CCTV Network refresh - Se-72" u="1"/>
        <s v="Si - WORMINGTON - CCTV Network refresh - Se-75" u="1"/>
        <s v="Si - HAMS LANE - EOL Satellites - Se-68" u="1"/>
        <s v="Se - KINGS LYNN POWER STATION - Cyber Boiler Metering Upgrades" u="1"/>
        <s v="Se - MEDWAY POWER - Cyber Boiler Metering Upgrades" u="1"/>
        <s v="Se-ALREWAS COMPRESSOR STATION-Input Device-Station-Replacement(1)" u="1"/>
        <s v="Se-LOCKERLEY COMPRESSOR STATION-Input Device-Station-Replacement(1)" u="1"/>
        <s v="Se-CAMBRIDGE COMPRESSOR STATION-Input Device-Station-Replacement(1)" u="1"/>
        <s v="Se-CHELMSFORD COMPRESSOR STATION-Input Device-Station-Replacement(1)" u="1"/>
        <s v="Se-CARNFORTH COMPRESSOR STATION-Input Device-Station-Replacement(1)" u="1"/>
        <s v="Se-LONGTOWN-Input Device-FCV Metering-Replacement(2)" u="1"/>
        <s v="Se-TIRLEY-Input Device-FCV Metering-Replacement(1)" u="1"/>
        <s v="Se- STALLINGBOROUGH-Supply Point Metering-Replacement(3)" u="1"/>
        <s v="Se- SALTEND B.P.-Station-Supply Point Metering-Replacement(2)" u="1"/>
        <s v="Se-CORBY POWER STATION-Station-Supply Point Metering-Replacement (2)" u="1"/>
        <s v="Se- Centrax OT-Station-Supply Point Metering-Replacement(2)" u="1"/>
        <s v="T1_Sandbach Disconnection, Hays Above Ground Installation (AGI)" u="1"/>
        <s v="T2_Plant &amp; Equipment_AGI CP Interventions" u="1"/>
        <s v="T2_Area Forms" u="1"/>
        <s v="T2_Pipelines_AC Mitigation" u="1"/>
        <s v="T1_Compressors_2021_Felindre Reliability Works" u="1"/>
        <s v="T2_Decommissioning_2021_Enron Billingham AGI and Feeder 6 Billingham ICI to Enron" u="1"/>
        <s v="T2_Decommissioning_2022_DECOM_2022" u="1"/>
        <s v="T2_Emissions_2021_Kings Lynn MCPD" u="1"/>
        <s v="T2_Emissions_2021_Peterborough MCPD" u="1"/>
        <s v="Kirriemuir Control System Replacement" u="1"/>
        <s v="T2_Compressor Train_Breakdown Budget" u="1"/>
        <s v="CARNFORTH CONTROL SYSTEM" u="1"/>
        <s v="Hatton Station LCP (2) New Compressor Units" u="1"/>
        <s v="Cathodic Protection Campaign RIIO T1" u="1"/>
        <s v="Removal Alrewas, Diss Fence  Remediation Chelmsford Fence" u="1"/>
        <s v="HS2 Phase 1 Diversions NTS FM2, 7, 9, 14, 23" u="1"/>
        <s v="Cyber Security Compressor and AGI" u="1"/>
        <s v="Progress Power MOC" u="1"/>
        <s v="National Electrical AH Campaign" u="1"/>
        <s v="LOCATION 9001 Terminal and Gas Units Control System Replacement" u="1"/>
        <s v="HS2 Phase 2b - Diversions of NTS Feeders 4, 7, 14, 15, 21, 25 and 29" u="1"/>
        <s v="Aberdeen Site Wide Control System Replacement" u="1"/>
        <s v="A500 Crewe, Diversion of Feeder 21 Wheelock to Audley" u="1"/>
        <s v="A47 Tuddenham diversion, Feeder 3 Felthorpe to Hardingham" u="1"/>
        <s v="A164 Jocks Lodge, Fdr 29 Ganstead - Asselby" u="1"/>
        <s v="P - Feeder 02 - SW02WOTR - WORMINGTON TO TREADDOW-Deerhurst Severn Decontaminate and Grout Fill" u="1"/>
        <s v="P - Feeder 20  -  SW20ILKE-   ILCHESTER TO KENN SOUTH - ROV Tunnel Survey" u="1"/>
        <s v="P - Feeder 22 - EM22HAPE - HATTON-PETERBOROUGH - AC Protection Project" u="1"/>
        <s v="P - Feeder 26 - EA26HUST - HUNTINGDON - STEPPINGLEY - AC Protection Project" u="1"/>
        <s v="P - Feeder 21 - NW21CATR - CARNFORTH-TREALES - AC interference PIG tool- to be added to PSSR ILI run - FY30" u="1"/>
        <s v="P - Feeder 06 - NO06ELPI - PICKERING-ELTON - AC interference PIG tool- to be added to PSSR ILI run - FY30" u="1"/>
        <s v="P - Feeder 06 - NO06LIBI - LITTLE BURDON-BILLINGHAM - AC interference PIG tool- to be added to PSSR ILI run - FY29" u="1"/>
        <s v="P - Feeder 12 - NO12LOBI - LONGTOWN-BISHOP AUCKLAND - AC interference PIG tool- to be added to PSSR ILI run - FY27" u="1"/>
        <s v="P - Feeder 09 - EA09PEWH - PETERBOROUGH-WHITWELL - AC interference PIG tool- to be added to PSSR ILI run - FY28" u="1"/>
        <s v="P - Feeder 10 - NO10COTH - COLDSTREAM-THRUNTON - Cathodic Protection - AC Mitigation Survey and design" u="1"/>
        <s v="P - Feeder 06 - NO06ELPI - PICKERING-ELTON - Cathodic Protection - AC Mitigation Survey and design" u="1"/>
        <s v="P - Feeder 18 - EA18PEHU - PETERBOROUGH-HUNTINGDON - Cathodic Protection - AC Mitigation Survey and design" u="1"/>
        <s v="P - Feeder 09 - EA09PEWH - PETERBOROUGH-WHITWELL - Cathodic Protection - AC Mitigation Survey and design" u="1"/>
        <s v="P - Feeder 18 - EA18STLI - ST NEOTS-LT BARFORD - Cathodic Protection - AC Mitigation Survey and design" u="1"/>
        <s v="P - Feeder 10 - COTH10 - Legacy Defect - Depth of cover (Mitigations of defects)- 223349 defect num" u="1"/>
        <s v="P - Feeder 21 - AUAL21 - Legacy Defect - Watercourse crossings (defect resolution)- 1069709 defect num" u="1"/>
        <s v="P - Feeder 21 - AUAL21 - Legacy Defect - Watercourse crossings (defect resolution)- 1000871 defect num" u="1"/>
        <s v="P - Feeder 04 - AUAL04 - Legacy Defect - Watercourse crossings (defect resolution)- 975885 defect num" u="1"/>
        <s v="P - Feeder 05 - BAYE05 - Legacy Defect - Depth of cover (Mitigations of defects)- 18212 defect num" u="1"/>
        <s v="P - Feeder 05 - BAYE05 - Legacy Defect - Depth of cover (Mitigations of defects)- 18213 defect num" u="1"/>
        <s v="P - Feeder 03 - BARO03 - Legacy Defect - Depth of cover (Mitigations of defects)- 18564 defect num" u="1"/>
        <s v="P - Feeder 03 - BARO03 - Legacy Defect - Depth of cover (Mitigations of defects)- 18566 defect num" u="1"/>
        <s v="P - NORTH - Stopple Removal of Historic Stopples - Draw Down" u="1"/>
        <s v="P - LOCATION 09999 Road Crossings- Excavation Surveys - 5 x road crossings - Feeder 2 Outage" u="1"/>
        <s v="P - LOCATION 09999 Road Crossings- Excavation Surveys - 5 x road crossings - Feeder 3 Outage" u="1"/>
        <s v="P - LOCATION 09999 Road Crossings- Excavation Surveys - 5 x road crossings - Feeder 5 Outage" u="1"/>
        <s v="P - Feeder 12 - ABKI12 - Legacy Defect - Nitrogen Sleeve Minor Remediation - 6088127" u="1"/>
        <s v="P - Feeder 12 - ABKI12 - Legacy Defect - Nitrogen Sleeve Minor Remediation - 6088129" u="1"/>
        <s v="P - Feeder 12 - KIBA12 - Legacy Defect - Nitrogen Sleeve Minor Remediation - 6001767" u="1"/>
        <s v="P - Feeder 12 - LOBI12 - Legacy Defect - Nitrogen Sleeve Minor Remediation - 4214334" u="1"/>
        <s v="P - Feeder 11 - BALO11 - Legacy Defect - Nitrogen Sleeve Minor Remediation - 13450" u="1"/>
        <s v="P - Feeder 10 - STAB10 - Legacy Defect - Nitrogen Sleeve Minor Remediation - 27466" u="1"/>
        <s v="P - Feeder 02 - TRDO02 - Legacy Defect - Nitrogen Sleeve Minor Remediation - 16995" u="1"/>
        <s v="P - Feeder 07 - OLCH07 - Legacy Defect - Nitrogen Sleeve Minor Remediation - 13646" u="1"/>
        <s v="P - Feeder 07 - OLCH07 - Legacy Defect - Nitrogen Sleeve Minor Remediation - 16992" u="1"/>
        <s v="P - Feeder 14 - AUSH14 - Legacy Defect - Nitrogen Sleeve Minor Remediation - 11484" u="1"/>
        <s v="P - Feeder 14 - AUSH14 - Legacy Defect - Nitrogen Sleeve Minor Remediation - 11485" u="1"/>
        <s v="P - Feeder 12 - KIBA12 - Legacy Defect - Nitrogen Sleeve Minor Remediation - 11401" u="1"/>
        <s v="P - Feeder 15 - PLLU15 - Legacy Defect - Nitrogen Sleeve Minor Remediation - 13584" u="1"/>
        <s v="P - Feeder 02 - DODY02 - Legacy Defect - Nitrogen Sleeve Minor Remediation - 13583" u="1"/>
        <s v="P - Feeder 02 - WOTR02 - Legacy Defect - Nitrogen Sleeve Minor Remediation - 17050" u="1"/>
        <s v="P - Feeder 14 - SACI14 - Legacy Defect - Nitrogen Sleeve Minor Remediation - 13507" u="1"/>
        <s v="P - Feeder 07 - CHBA07 - Legacy Defect - Nitrogen Sleeve Minor Remediation - 17057" u="1"/>
        <s v="P - Feeder 07 - CHBA07 - Legacy Defect - Nitrogen Sleeve Minor Remediation - 13576" u="1"/>
        <s v="P - Feeder 07 - CHBA07 - Legacy Defect - Nitrogen Sleeve Minor Remediation - 17055" u="1"/>
        <s v="P - Feeder 07 - CHBA07 - Legacy Defect - Nitrogen Sleeve Minor Remediation - 17053" u="1"/>
        <s v="P - Feeder 07 - CHBA07 - Legacy Defect - Nitrogen Sleeve Minor Remediation - 22124" u="1"/>
        <s v="P - Feeder 07 - OLCH07 - Legacy Defect - Nitrogen Sleeve Minor Remediation - 11408" u="1"/>
        <s v="P - Feeder 07 - OLCH07 - Legacy Defect - Nitrogen Sleeve Minor Remediation - 11405" u="1"/>
        <s v="P - Feeder 07 - OLCH07 - Legacy Defect - Nitrogen Sleeve Minor Remediation - 11407" u="1"/>
        <s v="P - Feeder 13 - ARHA13 - Legacy Defect - Nitrogen Sleeve Minor Remediation - 11239" u="1"/>
        <s v="P - Feeder 10 - STAB10 - Legacy Defect - Nitrogen Sleeve Minor Remediation - 11198" u="1"/>
        <s v="P - Feeder 10 - STAB10 - Legacy Defect - Nitrogen Sleeve Minor Remediation - 13430" u="1"/>
        <s v="P - Feeder 07 - CHBA07 - Legacy Defect - Nitrogen Sleeve Minor Remediation - 17049" u="1"/>
        <s v="P - Feeder 07 - CHBA07 - Legacy Defect - Nitrogen Sleeve Minor Remediation - 22126" u="1"/>
        <s v="P - Feeder 07 - CHBA07 - Legacy Defect - Nitrogen Sleeve Minor Remediation - 11362" u="1"/>
        <s v="P - Feeder 02 - DODY02 - Legacy Defect - Nitrogen Sleeve Minor Remediation - 16989" u="1"/>
        <s v="P - Feeder 07 - CHBA07 - Legacy Defect - Nitrogen Sleeve Minor Remediation - 7453" u="1"/>
        <s v="P - Feeder 07 - CHBA07 - Legacy Defect - Nitrogen Sleeve Minor Remediation - 7464" u="1"/>
        <s v="P - Feeder 07 - CHBA07 - Legacy Defect - Nitrogen Sleeve Minor Remediation - 7478" u="1"/>
        <s v="P - Feeder 07 - CHBA07 - Legacy Defect - Nitrogen Sleeve Minor Remediation - 7496" u="1"/>
        <s v="P - Feeder 11 - STAB11 - Legacy Defect - Nitrogen Sleeve Minor Remediation - 7535" u="1"/>
        <s v="P - Feeder 12 - STAB12 - Legacy Defect - Nitrogen Sleeve Minor Remediation - 7549" u="1"/>
        <s v="P - Feeder 06 - BEHO06 - Legacy Defect - Nitrogen Sleeve Minor Remediation - 7528" u="1"/>
        <s v="P - Feeder 07 - TYOL07 - Legacy Defect - Nitrogen Sleeve Minor Remediation - 7347" u="1"/>
        <s v="P - Feeder 07 - TYOL07 - Legacy Defect - Nitrogen Sleeve Minor Remediation - 7366" u="1"/>
        <s v="P - Feeder 07 - BAMA07 - Legacy Defect - Nitrogen Sleeve Minor Remediation - 7277" u="1"/>
        <s v="P - Feeder 07 - BAMA07 - Legacy Defect - Nitrogen Sleeve Minor Remediation - 7291" u="1"/>
        <s v="P - Feeder 14 - AUSH14 - Legacy Defect - Nitrogen Sleeve Minor Remediation - 7321" u="1"/>
        <s v="P - Feeder 07 - TYOL07 - Legacy Defect - Nitrogen Sleeve Minor Remediation - 7337" u="1"/>
        <s v="P - Feeder 07 - TYOL07 - Legacy Defect - Nitrogen Sleeve Minor Remediation - 7339" u="1"/>
        <s v="P - Feeder 07 - TYOL07 - Legacy Defect - Nitrogen Sleeve Minor Remediation - 7343" u="1"/>
        <s v="P - Feeder 07 - TYOL07 - Legacy Defect - Nitrogen Sleeve Minor Remediation - 7364" u="1"/>
        <s v="P - Feeder 07 - TYOL07 - Legacy Defect - Nitrogen Sleeve Minor Remediation - 7331" u="1"/>
        <s v="P - Feeder 07 - TYOL07 - Legacy Defect - Nitrogen Sleeve Minor Remediation - 7340" u="1"/>
        <s v="P - Feeder 07 - TYOL07 - Legacy Defect - Nitrogen Sleeve Minor Remediation - 7344" u="1"/>
        <s v="P - Feeder 07 - TYOL07 - Legacy Defect - Nitrogen Sleeve Minor Remediation - 7351" u="1"/>
        <s v="P - Feeder 07 - TYOL07 - Legacy Defect - Nitrogen Sleeve Minor Remediation - 7330" u="1"/>
        <s v="P - Feeder 07 - TYOL07 - Legacy Defect - Nitrogen Sleeve Minor Remediation - 7341" u="1"/>
        <s v="P - Feeder 07 - TYOL07 - Legacy Defect - Nitrogen Sleeve Minor Remediation - 7352" u="1"/>
        <s v="P - Feeder 12 - STAB12 - Legacy Defect - Nitrogen Sleeve Minor Remediation - 7554" u="1"/>
        <s v="P - Feeder 07 - TYOL07 - Legacy Defect - Nitrogen Sleeve Minor Remediation - 7367" u="1"/>
        <s v="P - Feeder 07 - TYOL07 - Legacy Defect - Nitrogen Sleeve Minor Remediation - 7335" u="1"/>
        <s v="P - Feeder 02 - TRDO02 - Legacy Defect - Nitrogen Sleeve Minor Remediation - 38584" u="1"/>
        <s v="P - Feeder 10 - STAB10 - Legacy Defect - Nitrogen Sleeve Minor Remediation - 7517" u="1"/>
        <s v="P - Feeder 05 - SHIS05 - Legacy Defect - Nitrogen Sleeve Minor Remediation - 7437" u="1"/>
        <s v="P - Feeder 05 - SHIS05 - Legacy Defect - Nitrogen Sleeve Minor Remediation - 7435" u="1"/>
        <s v="P - Feeder 12 - STAB12 - Legacy Defect - Nitrogen Sleeve Minor Remediation - 7550" u="1"/>
        <s v="P - Feeder 12 - STAB12 - Legacy Defect - Nitrogen Sleeve Minor Remediation - 7551" u="1"/>
        <s v="P - Feeder 11 - STAB11 - Legacy Defect - Nitrogen Sleeve Minor Remediation - 7546" u="1"/>
        <s v="P - Feeder 07 - BAMA07 - Legacy Defect - Nitrogen Sleeve Minor Remediation - 7303" u="1"/>
        <s v="P - Feeder 14 - AUSH14 - Legacy Defect - Nitrogen Sleeve Minor Remediation - 7320" u="1"/>
        <s v="P - Feeder 07 - OLCH07 - Legacy Defect - Nitrogen Sleeve Minor Remediation - 7421" u="1"/>
        <s v="P - Feeder 07 - CHBA07 - Legacy Defect - Nitrogen Sleeve Minor Remediation - 7471" u="1"/>
        <s v="P - Feeder 07 - MIBR07 - Legacy Defect - Nitrogen Sleeve Minor Remediation - 7325" u="1"/>
        <s v="P - Feeder 07 - CHBA07 - Legacy Defect - Nitrogen Sleeve Minor Remediation - 7455" u="1"/>
        <s v="P - Feeder 07 - CHBA07 - Legacy Defect - Nitrogen Sleeve Minor Remediation - 7489" u="1"/>
        <s v="P - Feeder 07 - BAMA07 - Legacy Defect - Nitrogen Sleeve Minor Remediation - 7281" u="1"/>
        <s v="P - Feeder 07 - CHBA07 - Legacy Defect - Nitrogen Sleeve Minor Remediation - 7493" u="1"/>
        <s v="P - Feeder 12 - STAB12 - Legacy Defect - Nitrogen Sleeve Minor Remediation - 7557" u="1"/>
        <s v="P - Feeder 10 - STAB10 - Legacy Defect - Nitrogen Sleeve Minor Remediation - 7519" u="1"/>
        <s v="P - Feeder 11 - STAB11 - Legacy Defect - Nitrogen Sleeve Minor Remediation - 7545" u="1"/>
        <s v="P - Feeder 07 - BAMA07 - Legacy Defect - Nitrogen Sleeve Minor Remediation - 7294" u="1"/>
        <s v="P - Feeder 07 - OLCH07 - Legacy Defect - Nitrogen Sleeve Minor Remediation - 7409" u="1"/>
        <s v="P - Feeder 02 - TRDO02 - Legacy Defect - Nitrogen Sleeve Minor Remediation - 7433" u="1"/>
        <s v="P - Feeder 07 - CHBA07 - Legacy Defect - Nitrogen Sleeve Minor Remediation - 7457" u="1"/>
        <s v="P - Feeder 07 - BAMA07 - Legacy Defect - Nitrogen Sleeve Minor Remediation - 7280" u="1"/>
        <s v="P - Feeder 07 - BAMA07 - Legacy Defect - Nitrogen Sleeve Minor Remediation - 7284" u="1"/>
        <s v="P - Feeder 07 - BAMA07 - Legacy Defect - Nitrogen Sleeve Minor Remediation - 7273" u="1"/>
        <s v="P - Feeder 07 - BAMA07 - Legacy Defect - Nitrogen Sleeve Minor Remediation - 7305" u="1"/>
        <s v="P - Feeder 07 - OLCH07 - Legacy Defect - Nitrogen Sleeve Minor Remediation - 7415" u="1"/>
        <s v="P - Feeder 07 - CHBA07 - Legacy Defect - Nitrogen Sleeve Minor Remediation - 7467" u="1"/>
        <s v="P - Feeder 07 - CHBA07 - Legacy Defect - Nitrogen Sleeve Minor Remediation - 7465" u="1"/>
        <s v="P - Feeder 07 - CHBA07 - Legacy Defect - Nitrogen Sleeve Minor Remediation - 7461" u="1"/>
        <s v="P - Feeder 07 - BAMA07 - Legacy Defect - Nitrogen Sleeve Minor Remediation - 7293" u="1"/>
        <s v="P - Feeder 07 - BAMA07 - Legacy Defect - Nitrogen Sleeve Minor Remediation - 7276" u="1"/>
        <s v="P - Feeder 07 - BAMA07 - Legacy Defect - Nitrogen Sleeve Minor Remediation - 7286" u="1"/>
        <s v="P - Feeder 14 - AUSH14 - Legacy Defect - Nitrogen Sleeve Minor Remediation - 7318" u="1"/>
        <s v="P - Feeder 07 - OLCH07 - Legacy Defect - Nitrogen Sleeve Minor Remediation - 7410" u="1"/>
        <s v="P - Feeder 07 - OLCH07 - Legacy Defect - Nitrogen Sleeve Minor Remediation - 7412" u="1"/>
        <s v="P - Feeder 07 - OLCH07 - Legacy Defect - Nitrogen Sleeve Minor Remediation - 7422" u="1"/>
        <s v="P - Feeder 07 - CHBA07 - Legacy Defect - Nitrogen Sleeve Minor Remediation - 7456" u="1"/>
        <s v="P - Feeder 11 - STAB11 - Legacy Defect - Nitrogen Sleeve Minor Remediation - 11197" u="1"/>
        <s v="P - Feeder 07 - CHBA07 - Legacy Defect - Nitrogen Sleeve Minor Remediation - 13424" u="1"/>
        <s v="P - Feeder 07 - CHBA07 - Legacy Defect - Nitrogen Sleeve Minor Remediation - 17048" u="1"/>
        <s v="P - Feeder 11 - LOGR11 - Legacy Defect - Nitrogen Sleeve Minor Remediation - 11095" u="1"/>
        <s v="P - Feeder 11 - LOGR11 - Legacy Defect - Nitrogen Sleeve Minor Remediation - 11097" u="1"/>
        <s v="P - Feeder 07 - CHBA07 - Legacy Defect - Nitrogen Sleeve Minor Remediation - 17042" u="1"/>
        <s v="P - Feeder 11 - LOGR11 - Legacy Defect - Nitrogen Sleeve Minor Remediation - 7451" u="1"/>
        <s v="P - Feeder 11 - KIBA11 - Legacy Defect - Nitrogen Sleeve Minor Remediation - 11470" u="1"/>
        <s v="P - Feeder 07 - OLCH07 - Legacy Defect - Nitrogen Sleeve Minor Remediation - 16981" u="1"/>
        <s v="P - Feeder 10 - STAB10 - Legacy Defect - Nitrogen Sleeve Minor Remediation - 11472" u="1"/>
        <s v="P - Feeder 12 - KIBA12 - Legacy Defect - Nitrogen Sleeve Minor Remediation - 25341" u="1"/>
        <s v="P - Feeder 12 - KIBA12 - Legacy Defect - Nitrogen Sleeve Minor Remediation - 11399" u="1"/>
        <s v="P - Feeder 11 - KIBA11 - Legacy Defect - Nitrogen Sleeve Minor Remediation - 11469" u="1"/>
        <s v="P - Feeder 13 - COYA13 - Legacy Defect - Nitrogen Sleeve Minor Remediation - 11357" u="1"/>
        <s v="P - Feeder 13 - COYA13 - Legacy Defect - Nitrogen Sleeve Minor Remediation - 11350" u="1"/>
        <s v="P - Feeder 13 - COYA13 - Legacy Defect - Nitrogen Sleeve Minor Remediation - 11351" u="1"/>
        <s v="P - Feeder 07 - OLCH07 - Legacy Defect - Nitrogen Sleeve Minor Remediation - 11420" u="1"/>
        <s v="P - Feeder 11 - BALO11 - Legacy Defect - Nitrogen Sleeve Minor Remediation - 7390" u="1"/>
        <s v="P - Feeder 10 - BOCO10 - Legacy Defect - Nitrogen Sleeve Minor Remediation - 11090" u="1"/>
        <s v="P - Feeder 12 - KIBA12 - Legacy Defect - Nitrogen Sleeve Minor Remediation - 11475" u="1"/>
        <s v="P - Feeder 02 - WIDU02 - Legacy Defect - Nitrogen Sleeve Minor Remediation - 12981" u="1"/>
        <s v="P - Feeder 02 - WOTR02 - Legacy Defect - Nitrogen Sleeve Minor Remediation - 7440" u="1"/>
        <s v="P - Feeder 03 - GRWH03 - Legacy Defect - Nitrogen Sleeve Minor Remediation - 11436" u="1"/>
        <s v="P - Feeder 12 - BALO12 - Legacy Defect - Nitrogen Sleeve Minor Remediation - 15148" u="1"/>
        <s v="P - Feeder 05 - ROLU05 - Legacy Defect - Nitrogen Sleeve Minor Remediation - 11449" u="1"/>
        <s v="P - Feeder 05 - SHIS05 - Legacy Defect - Nitrogen Sleeve Minor Remediation - 11343" u="1"/>
        <s v="P - Feeder 05 - GRTA05 - Legacy Defect - Nitrogen Sleeve Minor Remediation - 11378" u="1"/>
        <s v="P - Feeder 04  -  SHOCKLACH-MAELOR -  SHMA04 - ILI Inspection 1 - FY28" u="1"/>
        <s v="P - Feeder 04  -  WARBURTON-PARTINGTON -  WAPA04 - ILI Inspection 1 - FY31" u="1"/>
        <s v="P - Feeder 06  -  SPROATLEY - ALDBROUGH -  SPAL06 - ILI Inspection 1 - FY28" u="1"/>
        <s v="P - Feeder 07  -  CHALGROVE-BARTON STACEY -  CHBA07 - ILI Inspection 1 Dig 1 - FY29" u="1"/>
        <s v="P - Feeder 07  -  CHALGROVE-BARTON STACEY -  CHBA07 - ILI Inspection 1 Dig 3 - FY29" u="1"/>
        <s v="P - Feeder 07  -  GOSBERTON - HATTON -  HAGO07 - ILI Inspection 1 - FY27" u="1"/>
        <s v="P - Feeder 07  -  NUFFIELD-WINKFIELD -  NUWI07 - ILI Inspection 1 - FY27" u="1"/>
        <s v="P - Feeder 07  -  NUFFIELD-WINKFIELD -  NUWI07 - ILI Inspection 1 Dig 1 - FY29" u="1"/>
        <s v="P - Feeder 07  -  PANNAL-CAWOOD -  PACA07 - ILI Inspection 1 - FY29" u="1"/>
        <s v="P - Feeder 07  -  SUSWORTH TRENT CROSSING N -  0 - ILI Inspection 1 - FY30" u="1"/>
        <s v="P - Feeder 07  -  SUSWORTH TRENT EAST-HATTON -  SUHA07 - ILI Inspection 1 Placeholder Dig 1 - FY30" u="1"/>
        <s v="P - Feeder 09  -  PETERBOROUGH-WHITWELL -  PEWH09 - ILI Inspection 1 - FY28" u="1"/>
        <s v="P - Feeder 09  -  PETERBOROUGH-WHITWELL -  PEWH09 - ILI Inspection 1 Dig 5 - FY30" u="1"/>
        <s v="P - Feeder 09  -  SILK WILLOUGHBY - STAYTHORPE -  SIST09 - ILI Inspection 1 - FY27" u="1"/>
        <s v="P - Feeder 10  -  LOCATION 9001-ABERDEEN -  STAB10 - ILI Inspection 1 Dig 1 - FY30" u="1"/>
        <s v="P - Feeder 10  -  LOCATION 9001-ABERDEEN -  STAB10 - ILI Inspection 1 Dig 3 - FY30" u="1"/>
        <s v="P - Feeder 11  -  ABERDEEN-KIRRIEMUIR -  ABKI11 - ILI Inspection 1 - FY28" u="1"/>
        <s v="P - Feeder 11  -  ABERDEEN-KIRRIEMUIR -  ABKI11 - ILI Inspection 1 Dig 1 - FY30" u="1"/>
        <s v="P - Feeder 11  -  BATHGATE-LONGTOWN -  BALO11 - ILI Inspection 1 - FY30" u="1"/>
        <s v="P - Feeder 11  -  GRAYRIGG-SAMLESBURY -  GRSA11 - ILI 2025 inspection Dig 1  - FY28" u="1"/>
        <s v="P - Feeder 11  -  GRAYRIGG-SAMLESBURY -  GRSA11 - ILI 2025 inspection Dig 3 - FY28" u="1"/>
        <s v="P - Feeder 11  -  KIRRIEMUIR-BATHGATE -  KIBA11 - ILI Inspection 1 Dig 1 - FY30" u="1"/>
        <s v="P - Feeder 11  -  KIRRIEMUIR-BATHGATE -  KIBA11 - ILI Inspection 1 Dig 3 - FY30" u="1"/>
        <s v="P - Feeder 12  -  BATHGATE-LONGTOWN -  BALO12 - ILI FY25 inspection Dig 1  - FY27" u="1"/>
        <s v="P - Feeder 12  -  BATHGATE-LONGTOWN -  BALO12 - ILI FY25 inspection Dig 2 - FY27" u="1"/>
        <s v="P - Feeder 12  -  BATHGATE-LONGTOWN -  BALO12 - ILI FY25 inspection Dig 3 - FY27" u="1"/>
        <s v="P - Feeder 12  -  BATHGATE-LONGTOWN -  BALO12 - ILI FY25 inspection Dig 5 - FY27" u="1"/>
        <s v="P - Feeder 12  -  BATHGATE-LONGTOWN -  BALO12 - ILI Inspection 1 - FY31" u="1"/>
        <s v="P - Feeder 13  -  ARBROATH-HADDINGTON -  ARHA13 - ILI Inspection 1 Dig 1 - FY29" u="1"/>
        <s v="P - Feeder 13  -  ARBROATH-HADDINGTON -  ARHA13 - ILI Inspection 1 Dig 2 - FY29" u="1"/>
        <s v="P - Feeder 13  -  COWPEN BEWLEY-YAFFORTH -  COYA13 - ILI Inspection 1 Dig 2 - FY30" u="1"/>
        <s v="P - Feeder 13  -  HADDINGTON-SIMPRIM -  HASI13 - ILI Inspection 1 - FY27" u="1"/>
        <s v="P - Feeder 13  -  SIMPRIM-CORBRIDGE -  SICO13 - ILI Inspection 1 Dig 4 - FY29" u="1"/>
        <s v="P - Feeder 14  -  PUCKLECHURCH-ILCHESTER -  PUIL14 - ILI Inspection 1 Dig 1 - FY30" u="1"/>
        <s v="P - Feeder 14  -  PUCKLECHURCH-ILCHESTER -  PUIL14 - ILI Inspection 1 Dig 3 - FY30" u="1"/>
        <s v="P - Feeder 15  -  BRETHERTON-WARBURTON -  BRWA15 - ILI Inspection 1 Dig 1 - FY30" u="1"/>
        <s v="P - Feeder 15  -  WHEELOCK-WARMINGHAM -  WHWA15 - ILI Inspection 1 - FY29" u="1"/>
        <s v="P - Feeder 16  -  BARROW-LUPTON -  BALU16 - ILI  Inspection 1 Dig 1 - FY29" u="1"/>
        <s v="P - Feeder 16  -  BARROW-LUPTON -  BALU16 - ILI  Inspection 1 Dig 2 - FY29" u="1"/>
        <s v="P - Feeder 18  -  HUNTINGDON-CAMBRIDGE -  HUCA18 - ILI Inspection 1 Dig 2 - FY30" u="1"/>
        <s v="P - Feeder 18  -  MATCHING GREEN-TILBURY -  MATI18 - ILI 2025 inspection Dig 1  - FY28" u="1"/>
        <s v="P - Feeder 18  -  PETERBOROUGH-HUNTINGDON -  PEHU18 - ILI Inspection 1 - FY27" u="1"/>
        <s v="P - Feeder 18  -  PETERBOROUGH-HUNTINGDON -  PEHU18 - ILI Inspection 1 Dig 2 - FY29" u="1"/>
        <s v="P - Feeder 21  -  CARNFORTH-TREALES -  CATR21 - ILI Inspection 1 - FY30" u="1"/>
        <s v="P - Feeder 06  -  BURTON AGNES TO PAULL -  BUPA06 - OLI/4 Inspection 1 - FY27" u="1"/>
        <s v="P - Feeder 07  -  CAWOOD TO SUSWORTH TRENT WEST -  CASU07 - OLI/4 Inspection 1- ASSELBY - DRAX RIVER OUSE CROSSING - FY28" u="1"/>
        <s v="P - Feeder 04  -  SHANGTON TO TUR LANGTON -  SHTU04 -  OLI/4 Pipeline Defect Remediation 1 - FY29" u="1"/>
        <s v="P - Feeder 04  -  SADDLEBOW TO KINGS LYNN PS -  SAKI04 - OLI/4 Inspection 1 - PALM PAPER - FY31" u="1"/>
        <s v="P - Feeder 04  -  SADDLEBOW TO KINGS LYNN PS -  SAKI04 - OLI/4 Inspection 1-SADDLEBOW TO KINGS LYNN PS - FY31" u="1"/>
        <s v="P - Feeder 07  -  WISBECH NENE WEST TO TYDD ST.GILES -  WITY07 - OLI/4 Inspection 1 - FY31" u="1"/>
        <s v="P - Feeder 02  -  LOCATION 09999 TO WISBECH NENE WEST -  BAWI02 - OLI/4 Inspection 1 - SUCTION LEG TO KINGS LYNN COMP - FY29" u="1"/>
        <s v="P - Feeder 02  -  BAWI02 -  OLI/4 Pipeline Defect Remediation 1 - SUCTION LEG TO KINGS LYNN COMP - FY31" u="1"/>
        <s v="P - Feeder 13  -  ST. FERGUS TO ABERDEEN -  STAB13 - OLI/4 Inspection 1 - FY28" u="1"/>
        <s v="P - Feeder 21  -  HOLLINSGREEN TO HAYS CHEMICALS -  HOHA21 - OLI/4 Inspection 2 - FY31" u="1"/>
        <s v="P - Feeder 21  -  HOLLINSGREEN TO HAYS CHEMICALS -  HOHA21 -  OLI/4 Pipeline Defect Remediation 1 - FY29" u="1"/>
        <s v="P - Feeder 21  -  MICKLE TRAFFORD TO DEESIDE -  MIDE21 -  OLI/4 Pipeline Defect Remediation 1 - BURTON POINT SPUR - FY29" u="1"/>
        <s v="P - Feeder 21  -  MICKLE TRAFFORD TO DEESIDE -  MIDE21 - OLI/4 Inspection 1 - SURVEILLANCE SECTION - FY29" u="1"/>
        <s v="P - Feeder 11  -  SAMLESBURY TO BLACKROD -  SABL11 - OLI/4 Inspection 1 - FY30" u="1"/>
        <s v="P - Feeder 14  -  CHURCHOVER TO WORMINGTON -  CHWO14 - OLI/4 Inspection 1 - CHURCHOVER COMP SUCTION LEG - FY29" u="1"/>
        <s v="P - Feeder 14  -  CHURCHOVER TO WORMINGTON -  CHWO14 -  OLI/4 Pipeline Defect Remediation 1 - CHURCHOVER COMP SUCTION LEG - FY31" u="1"/>
        <s v="P - Feeder 02  -  CHURCHOVER TO WORMINGTON DUPLICATE -  CHWO02 - OLI/4 Inspection 1 - CHURCHOVER COMP DISCHARGE LEG - FY29" u="1"/>
        <s v="P - Feeder 02  -  CHWO02 -  OLI/4 Pipeline Defect Remediation 1 - CHURCHOVER COMP DISCHARGE LEG - FY31" u="1"/>
        <s v="P - Feeder 02  -  CHURCHOVER TO WORMINGTON DUPLICATE -  CHWO02 - OLI/4 Inspection 1 - CHURCHOVER COMP SUCTION LEG - FY29" u="1"/>
        <s v="P - Feeder 02  -  CHWO02 -  OLI/4 Pipeline Defect Remediation 1 - CHURCHOVER COMP SUCTION LEG - FY31" u="1"/>
        <s v="P - Feeder 20  -  CENTRAX TEE TO CENTRAX OT 20F -  CECE20 - OLI/4 Inspection 1 - FY29" u="1"/>
        <s v="P - Feeder 20  -  ILCHESTER TO KENN SOUTH -  ILKE20 -  OLI/4 Pipeline Defect Remediation 1 - FY30" u="1"/>
        <s v="P - Feeder 02  -  PBORO TEE-PBORO PWR STN -  PEPE02 - ILI Inspection 1 Placeholder Dig - FY30" u="1"/>
        <s v="P - Feeder 09  -  BROCKLESBY - STALLINGBORO -  BRST09 - ILI Inspection 1 Placeholder Dig - FY30" u="1"/>
        <s v="P - Feeder 15  -  WHEELOCK-WARMINGHAM -  WHWA15 - ILI Inspection 1 Placeholder Dig - FY31" u="1"/>
        <s v="P - Feeder 04 - BLAL04- BLABY TO ALREWAS - N/A - CIPS for Capital Refurbishment - Survey -1 - FY27" u="1"/>
        <s v="P - Feeder 07 - MAIL07- MAPPOWDER TO ILCHESTER - N/A - CIPS for Capital Refurbishment - Survey -1 - FY27" u="1"/>
        <s v="P - Feeder 21 - ELMI21- ELWORTH TO MICKLE TRAFFORD - N/A - CIPS for Capital Refurbishment - Survey -1 - FY27" u="1"/>
        <s v="P - Feeder 22 - GOHA22- GOXHILL TO HATTON - N/A - CIPS for Capital Refurbishment - Survey -1 - FY27" u="1"/>
        <s v="P - Feeder 24 - HASI24- HATTON TO SILK WILLOUGHBY - N/A - CIPS for Capital Refurbishment - Survey -1 - FY31" u="1"/>
        <s v="P - Feeder 03 - GRWH03- Gt Wilbraham to Whitwell - N/A - CIPS for Capital Refurbishment - Survey -1 - FY30" u="1"/>
        <s v="P - Feeder 05 - YEST05- Yelverton to Stowmarket - N/A - CIPS for Capital Refurbishment - Survey -1 - FY27" u="1"/>
        <s v="P - Feeder 07 - HAGO07- Hatton to Gosberton - N/A - CIPS for Capital Refurbishment - Survey -1 - FY27" u="1"/>
        <s v="P - Feeder 07 - TYOL07- Tydd St G to Old Warden - N/A - CIPS for Capital Refurbishment - Survey -1 - FY28" u="1"/>
        <s v="P - Feeder 10 - BOCO10- Boon to Coldstream - N/A - CIPS for Capital Refurbishment - Survey -1 - FY27" u="1"/>
        <s v="P - Feeder 13 - ABAR13- Aberdeen to Arbroath - N/A - CIPS for Capital Refurbishment - Survey -1 - FY27" u="1"/>
        <s v="P - Feeder 13 - SICO13- Simprim to Corbridge - N/A - CIPS for Capital Refurbishment - Survey -1 - FY27" u="1"/>
        <s v="P - Feeder 14 - WOPU14- EASTON GREY TO PUCKLECHURCH - N/A - CIPS for Capital Refurbishment - Survey -1 - FY27" u="1"/>
        <s v="P - Feeder 14 - ILBA14- ILCHESTER TO BARRINGTON - N/A - CIPS for Capital Refurbishment - Survey -1 - FY27" u="1"/>
        <s v="P - Feeder 15 - BRWA15- Bretherton to Warburton - N/A - CIPS for Capital Refurbishment - Survey -1 - FY27" u="1"/>
        <s v="P - Feeder 21 - CATR21- Carnforth to Treales - N/A - CIPS for Capital Refurbishment - Survey -1 - FY27" u="1"/>
        <s v="P - Feeder 23 - CHHO23- NEWBOLD PACEY TO HONEYBOURNE - N/A - CIPS for Capital Refurbishment - Survey -1 - FY27" u="1"/>
        <s v="P - Feeder 27 - CAMA27- Cambridge to Matching Green - N/A - CIPS for Capital Refurbishment - Survey -1 - FY31" u="1"/>
        <s v="P - Feeder 07 - CASU07- Cawood to Susworth T West - N/A - CIPS for Capital Refurbishment - Survey -1 - FY30" u="1"/>
        <s v="P - Feeder 02 - WOTR02- ROSS TO TREADDOW - N/A - CIPS for Capital Refurbishment - Survey -1 - FY28" u="1"/>
        <s v="P - Feeder 11 - LOGR11- Carlisle to Grayrigg - N/A - CIPS for Capital Refurbishment - Survey -1 - FY28" u="1"/>
        <s v="P - Feeder 28 - 0- THREE COCKS TO TIRLEY PRI - N/A - CIPS for Capital Refurbishment - Survey -1 - FY28" u="1"/>
        <s v="P - Feeder 07 - BAMA07- Barton Stacey to Mappowder - N/A - CIPS for Capital Refurbishment - Survey -1 - FY29" u="1"/>
        <s v="P - Feeder 18 - PEHU18- LUTTON TO HUNTINGDON - N/A - CIPS for Capital Refurbishment - Survey -1 - FY28" u="1"/>
        <s v="P - Feeder 24 - STLO24- UDNY GREEN TO ABERDEEN - N/A - CIPS for Capital Refurbishment - Survey -1 - FY29" u="1"/>
        <s v="P - Feeder 27 - BAKI27- LOCATION 09999 TO KINGS LYNN - N/A - CIPS for Capital Refurbishment - Survey -1 - FY28" u="1"/>
        <s v="P - Feeder 05 - ROLU05- Roxwell to Abridge - N/A - CIPS for Capital Refurbishment - Survey -1 - FY29" u="1"/>
        <s v="P - Feeder 12 - ABKI12- Aberdeen to Kirrimuir - N/A - CIPS for Capital Refurbishment - Survey -1 - FY29" u="1"/>
        <s v="P - Feeder 18 - MATI18- STAPLEFORD TAWN TO TILBURY T N - N/A - CIPS for Capital Refurbishment - Survey -1 - FY30" u="1"/>
        <s v="P - Feeder 04 - BAWI04- GT RYBURGH TO KINGS LYNN - N/A - CIPS for Capital Refurbishment - Survey -1 - FY29" u="1"/>
        <s v="P - Feeder 18 - HUCA18- Huntingdon to Cambridge Comp Tee - N/A - CIPS for Capital Refurbishment - Survey -1 - FY30" u="1"/>
        <s v="P - Feeder 18 - MATI18- MATCHING GRN TO STAPLEFORD TAWN - N/A - CIPS for Capital Refurbishment - Survey -1 - FY30" u="1"/>
        <s v="P - Feeder 07 - MIBR07- Michelmarsh to Braishfield - N/A - CIPS for Capital Refurbishment - Survey -1 - FY31" u="1"/>
        <s v="P - Feeder 24 - STLO24- ABERDEEN TO LOCHSIDE - N/A - CIPS for Capital Refurbishment - Survey -1 - FY27" u="1"/>
        <s v="P - Feeder 24 - STLO24- LOCATION 9001 TO AUCHNAGATT - N/A - CIPS for Capital Refurbishment - Survey -1 - FY31" u="1"/>
        <s v="P - Feeder 02 - DODY02- DOWLAIS TO DYFFRYN CLYDACH - N/A - CIPS for Capital Refurbishment - Survey -1 - FY31" u="1"/>
        <s v="P - Feeder 05 - BRHO05- Braintree to Horndon South Section - N/A - CIPS for Capital Refurbishment - Survey -1 - FY28" u="1"/>
        <s v="P - Feeder 29 - EAAS29- EASINGTON TO GANSTEAD- N/A - CIPS for Capital Refurbishment - Survey -1 - FY27" u="1"/>
        <s v="P - Feeder 03 - WHPE03- Whitwell to Peters Green - N/A - CIPS for Capital Refurbishment - Survey -1 - FY27" u="1"/>
        <s v="P - Feeder 09 - PEWH09- STEPPINGLEY TO WHITWELL - N/A - CIPS for Capital Refurbishment - Survey -1 - FY27" u="1"/>
        <s v="P - Feeder 18 - SHORNE TO FARNINGHAM  - SHFA18 - ILI Inspection 1 Dig 1 - FY29" u="1"/>
        <s v="Si - GRAYRIGG - NT4343PGSA-4343A - N/A - PIG Trap (PSSR Inspection - Major)" u="1"/>
        <s v="Si - PLUMPTON HEAD - NT4429PGSA-4429A - N/A - PIG Trap (PSSR Inspection - Major)" u="1"/>
        <s v="Si - ABERDEEN MULTIJUNCTION - NT6021-SS-ME-PRESSURE VESSELS-PIG TRAP-System-C - N/A - PIG Trap (PSSR Inspection - Major)" u="1"/>
        <s v="Si - SIMPRIM - NT6353PGSB-6353B - N/A - PIG Trap (PSSR Inspection - Major)" u="1"/>
        <s v="Si - HORNDON 'A' - NT8117PGSA-8117APIG - N/A - PIG Trap (PSSR Inspection - Major)" u="1"/>
        <s v="Si - PAULL MULTIJUNCTION - NT1113-SS-ME-PRESSURE VESSELS-PIG TRAP-System-F - N/A - PIG Trap (PSSR Inspection - Major)" u="1"/>
        <s v="Si - TYDD ST. GILES - NT1727-SS-ME-PRESSURE VESSELS-PIG TRAP-System-A - N/A - PIG Trap (PSSR Inspection - Major)" u="1"/>
        <s v="Si - TYDD ST. GILES - NT1727-SS-ME-PRESSURE VESSELS-PIG TRAP-System-B - N/A - PIG Trap (PSSR Inspection - Major)" u="1"/>
        <s v="Si - HATTON - NT1739-SS-ME-PRESSURE VESSELS-PIG TRAP-System-E - N/A - PIG Trap (PSSR Inspection - Major)" u="1"/>
        <s v="Si - TATSFIELD - NT2722-SS-ME-PRESSURE VESSELS-PIG TRAP-System-A - N/A - PIG Trap (PSSR Inspection - Major)" u="1"/>
        <s v="Si - TILBURY THAMES NORTH - NT2731-SS-ME-PRESSURE VESSELS-PIG TRAP-System-D - N/A - PIG Trap (PSSR Inspection - Major)" u="1"/>
        <s v="Si - ALREWAS MULTIJUNCTION - NT8157-SS-ME-PRESSURE VESSELS-PIG TRAP-System-F - N/A - PIG Trap (PSSR Inspection - Major)" u="1"/>
        <s v="Si - PETERBOROUGH COMP. TEE - NT1234-SS-ME-PRESSURE VESSELS-PIG TRAP-System-A - N/A - PIG Trap (PSSR Inspection - Major)" u="1"/>
        <s v="Si - CAMBRIDGE COMP TEE - NT1328-SS-ME-PRESSURE VESSELS-PIG TRAP-System-B - N/A - PIG Trap (PSSR Inspection - Major)" u="1"/>
        <s v="Si - GOSBERTON - NT1733-SS-ME-PRESSURE VESSELS-PIG TRAP-System-A - N/A - PIG Trap (PSSR Inspection - Major)" u="1"/>
        <s v="Si - HATTON - NT1739-SS-ME-PRESSURE VESSELS-PIG TRAP-System-F - N/A - PIG Trap (PSSR Inspection - Major)" u="1"/>
        <s v="Si - HATTON - NT1739-SS-ME-PRESSURE VESSELS-PIG TRAP-System-H - N/A - PIG Trap (PSSR Inspection - Major)" u="1"/>
        <s v="Si - PANNAL - NT1773-SS-ME-PRESSURE VESSELS-PIG TRAP-System-C - N/A - PIG Trap (PSSR Inspection - Major)" u="1"/>
        <s v="Si - HUNTINGDON - NT2017-SS-ME-PRESSURE VESSELS-PIG TRAP-System-B - N/A - PIG Trap (PSSR Inspection - Major)" u="1"/>
        <s v="Si - TILBURY THAMES NORTH - NT2731-SS-ME-PRESSURE VESSELS-PIG TRAP-System-A - N/A - PIG Trap (PSSR Inspection - Major)" u="1"/>
        <s v="Si - MICKLE TRAFFORD - NT4113-SS-ME-PRESSURE VESSELS-PIG TRAP-System-B - N/A - PIG Trap (PSSR Inspection - Major)" u="1"/>
        <s v="Si - BRETHERTON - NT4445PGSA-4445A - N/A - PIG Trap (PSSR Inspection - Major)" u="1"/>
        <s v="Si - BRETHERTON - NT4445PGSB-4445B - N/A - PIG Trap (PSSR Inspection - Major)" u="1"/>
        <s v="Si - BISHOP AUCKLAND - NT4841-SS-ME-PRESSURE VESSELS-PIG TRAP-System-A - N/A - PIG Trap (PSSR Inspection - Major)" u="1"/>
        <s v="Si - BISHOP AUCKLAND - NT4841-SS-ME-PRESSURE VESSELS-PIG TRAP-System-D - N/A - PIG Trap (PSSR Inspection - Major)" u="1"/>
        <s v="Si - CORBRIDGE - NT6369-SS-ME-PRESSURE VESSELS-PIG TRAP-System-B - N/A - PIG Trap (PSSR Inspection - Major)" u="1"/>
        <s v="Si - GREAT WILBRAHAM - NT1327-SS-ME-PRESSURE VESSELS-PIG TRAP-System-A - N/A - PIG Trap (PSSR Inspection - Major)" u="1"/>
        <s v="Si - STOWMARKET - NT1521PGSB-PTB - N/A - PIG Trap (PSSR Inspection - Major)" u="1"/>
        <s v="Si - ALDBROUGH - NT1616-SS-ME-PRESSURE VESSELS-PIG TRAP-System-A - N/A - PIG Trap (PSSR Inspection - Major)" u="1"/>
        <s v="Si - ASSELBY - NT1763-SS-ME-PRESSURE VESSELS-PIG TRAP-System-A - N/A - PIG Trap (PSSR Inspection - Major)" u="1"/>
        <s v="Si - TOWTON - NT1769-SS-ME-PRESSURE VESSELS-PIG TRAP-System-C - N/A - PIG Trap (PSSR Inspection - Major)" u="1"/>
        <s v="Si - GRAVESEND THAMES SOUTH - NT2729-SS-ME-PRESSURE VESSELS-PIG TRAP-System-B - N/A - PIG Trap (PSSR Inspection - Major)" u="1"/>
        <s v="Si - GRAVESEND THAMES SOUTH - NT2729-SS-ME-PRESSURE VESSELS-PIG TRAP-System-C - N/A - PIG Trap (PSSR Inspection - Major)" u="1"/>
        <s v="Si - WARBURTON - NT3625-SS-ME-PRESSURE VESSELS-PIG TRAP-System-B - N/A - PIG Trap (PSSR Inspection - Major)" u="1"/>
        <s v="Si - CARNFORTH - NT4437-SS-ME-PRESSURE VESSELS-PIG TRAP-System-A - N/A - PIG Trap (PSSR Inspection - Major)" u="1"/>
        <s v="Si - LUXBOROUGH LANE - NT2821-SS-ME-PRESSURE VESSELS-PIG TRAP-System-A - N/A - PIG Trap (PSSR Inspection - Major)" u="1"/>
        <s v="Si - PARTINGTON - NT3629-SS-ME-PRESSURE VESSELS-PIG TRAP-System-A - N/A - PIG Trap (PSSR Inspection - Major)" u="1"/>
        <s v="Si - TREALES - NT4443-SS-ME-PRESSURE VESSELS-PIG TRAP-System-A - N/A - PIG Trap (PSSR Inspection - Major)" u="1"/>
        <s v="P -Â NORTH - Watercourse crossings defect resolution - Draw Down" u="1"/>
        <s v="P -Â Feeder 06 - YO06PIBU - Pickering to Burton Agnes - TD1/Slabbing" u="1"/>
        <s v="P - Feeder 02 - WM02CHWO - Churchover to Wormington - TD1/Slabbing" u="1"/>
        <s v="P - FEEDER 06 - YO06BUPA - BURTON AGNES TO PAULL - CIPS Remediation - CIPS Dig - FY29" u="1"/>
        <s v="P - FEEDER 10 - SC10BAPE - BATHGATE TO PENICUIK - CIPS Remediation - CIPS Dig - FY29" u="1"/>
        <s v="P - FEEDER 21 - NW21CATR - CARNFORTH TO TREALES - CIPS Remediation - CIPS Dig - FY29" u="1"/>
        <s v="P - FEEDER 05 - EA05YEST - YELVERTON TO STOWMARKET - CIPS Remediation - CIPS Dig - FY29" u="1"/>
        <s v="P - FEEDER 14 - SW14BAKE - BARRINGTON TO KENN - CIPS Remediation - CIPS Dig - FY29" u="1"/>
        <s v="P - FEEDER 15 - NW15BRWA - BRETHERTON TO WARBURTON - CIPS Remediation - CIPS Dig - FY29" u="1"/>
        <s v="P - FEEDER 14 - SW14PUIL - PUCKLECHURCH TO ILCHESTER - CIPS Remediation - CIPS Dig - FY29" u="1"/>
        <s v="P - FEEDER 13 - NO13COBI - CORBRIDGE TO BISHOP AUCKLAND - CIPS Remediation - CIPS Dig - FY29" u="1"/>
        <s v="P - FEEDER 07 - SO07CHBA - CHALGROVE TO BARTON STACEY - CIPS Remediation - CIPS Dig - FY29" u="1"/>
        <s v="P - FEEDER 13 - SC13ABAR - ABERDEEN TO ARBROATH - CIPS Remediation - CIPS Dig - FY29" u="1"/>
        <s v="P - FEEDER 13 - NO13SICO - SIMPRIM TO CORBRIDGE - CIPS Remediation - CIPS Dig - FY29" u="1"/>
        <s v="P - FEEDER 28 - WA28FETH - FELINDRE TO THREE COCKS - CIPS Remediation - CIPS Dig - FY30" u="1"/>
        <s v="P - FEEDER 03 - EA03BARO - LOCATION 09999 TO ROUDHAM HEATH - CIPS Remediation - CIPS Dig - FY31" u="1"/>
        <s v="P - FEEDER 02 - SW02WOTR - WORMINGTON TO TREADDOW - CIPS Remediation - CIPS Dig - FY30" u="1"/>
        <s v="P - FEEDER 07 - NO07BIPA - BISHOP AUCKLAND TO PANNAL - CIPS Remediation - CIPS Dig - FY30" u="1"/>
        <s v="P - FEEDER 10 - SC10KIBA - KIRRIEMUIR TO BATHGATE 10 - CIPS Remediation - CIPS Dig - FY30" u="1"/>
        <s v="P - FEEDER 05 - EA05ROLU - ROXWELL TO LUXBOROUGH LANE - CIPS Remediation - CIPS Dig - FY31" u="1"/>
        <s v="P - FEEDER 12 - SC12STAB - ST. FERGUS TO ABERDEEN 12 - CIPS Remediation - CIPS Dig - FY31" u="1"/>
        <s v="P - FEEDER 27 - EA27BAKI - LOCATION 09999 TO KINGS LYNN - CIPS Remediation - CIPS Dig - FY30" u="1"/>
        <s v="P - FEEDER 04 - EA04BAWI - LOCATION 09999 TO WISBECH NENE WEST 04 - CIPS Remediation - CIPS Dig - FY31" u="1"/>
        <s v="P - FEEDER 05 - EA05BRHO - BRAINTREE TO HORNDON - CIPS Remediation - CIPS Dig - FY30" u="1"/>
        <s v="P - FEEDER 29 - YO29EAAS - EASINGTON TO ASSELBY - CIPS Remediation - CIPS Dig - FY29" u="1"/>
        <s v="P - FEEDER 29 - YO29ASPA - ASSELBY TO PANNAL - CIPS Remediation - CIPS Dig - FY29" u="1"/>
        <s v="P - FEEDER 19 - YO19EAPA - EASINGTON TO PAULL 19 - CIPS Remediation - CIPS Dig - FY29" u="1"/>
        <s v="P - FEEDER 09 - EA09PEWH - PETERBOROUGH TO WHITWELL - CIPS Remediation - CIPS Dig - FY29" u="1"/>
        <s v="P - FEEDER 04 - EA04WITI - WISBECH NENE WEST TO TIXOVER - CIPS Remediation - Install new CP System - FY29" u="1"/>
        <s v="P - FEEDER 14 - SW14PUIL - PUCKLECHURCH TO ILCHESTER - CIPS Remediation - Install new CP System - FY29" u="1"/>
        <s v="P - FEEDER 22 - EM22GOHA - GOXHILL TO HATTON - CIPS Remediation - Install new CP System - FY29" u="1"/>
        <s v="P - FEEDER 15 - NW15BRWA - BRETHERTON TO WARBURTON - CIPS Remediation - Install new CP System - FY29" u="1"/>
        <s v="P - FEEDER 02 - SW02TRDO - TREADDOW TO DOWLAIS - CIPS Remediation - Install new CP System - FY30" u="1"/>
        <s v="P - FEEDER 07 - NO07BIPA - BISHOP AUCKLAND TO PANNAL - CIPS Remediation - Install new CP System - FY30" u="1"/>
        <s v="P - FEEDER 28 - SW28THTI - THREE COCKS TO TIRLEY PRI - CIPS Remediation - Install new CP System - FY30" u="1"/>
        <s v="P - FEEDER 05 - EA05STBR - STOWMARKET TO BRAINTREE - CIPS Remediation - Install new CP System - FY31" u="1"/>
        <s v="P - FEEDER 11 - SC11ABKI - ABERDEEN TO KIRRIEMUIR 11 - CIPS Remediation - Install new CP System - FY30" u="1"/>
        <s v="P - FEEDER 12 - SC12ABKI - ABERDEEN TO KIRRIEMUIR 12 - CIPS Remediation - Install new CP System - FY31" u="1"/>
        <s v="P - CHURCHOVER TO WORMINGTON - Nitrogen sleeve remediation - Minor" u="1"/>
        <s v="P - AUDLEY TO SHOCKLACH - Watercourse crossings defect resolution" u="1"/>
        <s v="P - BISHOP AUCKLAND TO PANNAL - Watercourse crossings defect resolution" u="1"/>
        <s v="P - BLABY TO ALREWAS - Watercourse crossings defect resolution" u="1"/>
        <s v="P - HATTON TO PETERBOROUGH - Watercourse crossings defect resolution" u="1"/>
        <s v="P - BATHGATE TO PENICUIK - RDOC Defect Mitigation- Fencing and Ditch Board Installation" u="1"/>
        <s v="P - COLDSTREAM TO THRUNTON - RDOC Defect Mitigation- Fencing and Ditch Board Installation" u="1"/>
        <s v="P - PENICUIK TO BOON - RDOC Defect Mitigation- Fencing and Ditch Board Installation" u="1"/>
        <s v="P - AUDLEY TO SHOCKLACH - Nitrogen sleeve remediation - Minor" u="1"/>
        <s v="P - LONGTOWN TO BISHOP AUCKLAND - Watercourse crossings defect resolution" u="1"/>
        <s v="P - LONGTOWN TO GRAYRIGG - Watercourse crossings defect resolution" u="1"/>
        <s v="P - Feeder 23 - CHURCHOVER COMP TEE TO HONEYBOURNE 23 - CIPS Dig T2 Rollover" u="1"/>
        <s v="P - Feeder 7 - BLYBOROUGH TO BRIGG PS 7 - CIPS Dig T2 Rollover" u="1"/>
        <s v="P - Feeder 08 - THEDDLETHORPE TO HATTON 08 - CIPS Dig T2 Rollover" u="1"/>
        <s v="P - Feeder 22 - HATTON TO SILK WILLOUGHBY 22 - CIPS Dig T2 Rollover" u="1"/>
        <s v="P - Feeder 9 - PAULL TO HATTON 9 - CIPS Dig T2 Rollover" u="1"/>
        <s v="P - FEEDER - 7 - EM07HAGO - HATTON TO GOSBERTON - CIPS Remediation - Install New CP system - FY30" u="1"/>
        <s v="P - FEEDER - 7 - YO07CASU - CAWOOD TO SUSWORTH TRENT WEST - CIPS Remediation - Install New CP system - FY31" u="1"/>
        <s v="P - Feeder 28 reinforcement - Wormington to Honeybourne -9 km of new Pipeline" u="1"/>
        <s v="P - Feeder 14  -  SAPPERTON TO CIRENCESTER -  SACI14 - ILI Inspection 1 - FY27" u="1"/>
        <s v="P - Feeder 15  -  LUPTON TO BRETHERTON -  LUBR15 - ILI Inspection 1 Dig 3 - FY29" u="1"/>
        <s v="P - Feeder 12  -  ST. FERGUS TO ABERDEEN 12 -  STAB12 - ILI Inspection 1 Dig 2 - FY29" u="1"/>
        <s v="P - Feeder 14  -  SAPPERTON TO CIRENCESTER -  SACI14 - ILI Inspection 1 Dig 1 - FY29" u="1"/>
        <s v="P - Feeder 04  -  TIXOVER TO BLABY -  TIBL04 - ILI Inspection 1 Dig 1 - FY29" u="1"/>
        <s v="P - WEST - ILI Defect Digs - P-002 - Draw Down" u="1"/>
        <s v="P - WEST - Marker Posts - Aerial Marker Post Replacement - P-008 - Draw Down" u="1"/>
        <s v="P - WEST - Pipeline - Stopples Investigation - P-103 - Draw Down" u="1"/>
        <s v="P - EAST - Nitrogen Sleeve - Nitrogen Sleeve Minor Remediation - P-044 - Draw Down" u="1"/>
        <s v="P - EAST - Pipeline - RDOC Fencing &amp; Ditch Board Installation - P-096 - Draw Down" u="1"/>
        <s v="P - NORTH - Marker Posts - Aerial Marker Post Replacement - P-008 - Draw Down" u="1"/>
        <s v="P - NORTH - Pipeline - Stopples Investigation - P-103 - Draw Down" u="1"/>
        <s v="P - NORTH - Pipeline - RDOC Fencing &amp; Ditch Board Installation - P-096 - Draw Down" u="1"/>
        <s v="P - NORTH - Nitrogen Sleeve - Nitrogen Sleeve Grouting - P-045 - Draw Down" u="1"/>
        <s v="P - WEST - CP Test Post - CP Test Post Replacement/Repair  - P-034 - Draw Down" u="1"/>
        <s v="P - EAST - CP Test Post - CP Test Post Replacement/Repair  - P-034 - Draw Down" u="1"/>
        <s v="P - Feeder 04  -  HELSBY TO SHELLSTAR -  HESH04 - OLI/4 Inspection 1 - FY27" u="1"/>
        <s v="P - TOWTON - Feeder 7 Towton to Asselby Decom" u="1"/>
        <s v="P - Feeder 11 - LOGR11 - LONGTOWN TO GRAYRIGG - Project Union - North West FEED" u="1"/>
        <s v="P - Feeder 21 - CATR21 - CARNFORTH TO TREALES - Project Union - North West FEED" u="1"/>
        <s v="P - Feeder 21 - TRBU21 - TREALES TO BURSCOUGH - Project Union - North West FEED" u="1"/>
        <s v="P - Feeder 13 - ABAR13 - ABERDEEN TO ARBROATH - Project Union - LOCATION 9001 to Teeside FEED" u="1"/>
        <s v="P - Feeder 11 - BALO11 - BATHGATE TO LONGTOWN 11 - Project Union - LOCATION 9001 to Teeside FEED" u="1"/>
        <s v="P - Feeder 05 - ISLE OF GRAIN TO MEDWAY - ISME05  - FY25 ILI Inspection Placeholder Dig 3 - FY27" u="1"/>
        <s v="P - Feeder 05 - ISLE OF GRAIN TO MEDWAY - ISME05  - FY25 ILI Inspection Placeholder Dig 4 - FY27" u="1"/>
        <s v="P - Feeder 05 - ISLE OF GRAIN TO MEDWAY - ISME05  - FY25 ILI Inspection Placeholder Dig 6 - FY27" u="1"/>
        <s v="P - Feeder 11  -  BATHGATE-LONGTOWN -  BALO11 - ILI FY25 inspection Dig 10 - FY27" u="1"/>
        <s v="P - Feeder 11  -  BATHGATE-LONGTOWN -  BALO11 - ILI FY25 inspection Dig 13 - FY27" u="1"/>
        <s v="P - Feeder 11  -  BATHGATE-LONGTOWN -  BALO11 - ILI FY25 inspection Dig 14 - FY27" u="1"/>
        <s v="P - Feeder 11  -  BATHGATE-LONGTOWN -  BALO11 - ILI FY25 inspection Dig 20 - FY27" u="1"/>
        <s v="P - Feeder 12  -  BATHGATE-LONGTOWN -  BALO12 - ILI FY25 inspection Dig 8 - FY27" u="1"/>
        <s v="P - Feeder 12  -  BATHGATE-LONGTOWN -  BALO12 - ILI FY25 inspection Dig 10 - FY27" u="1"/>
        <s v="P - Feeder 12  -  BATHGATE-LONGTOWN -  BALO12 - ILI FY25 inspection Dig 11 - FY27" u="1"/>
        <s v="P - FEEDER 16 - BARROW TO LUPTON - BALU16 - CIPS Remediation - CIPS Dig - FY27" u="1"/>
        <s v="P - FEEDER 02 - DOWLAIS TO DYFFRYN CLYDACH - DODY02 - CIPS Remediation - CIPS Dig - FY27" u="1"/>
        <s v="P - FEEDER 11 - GRAYRIGG TO SAMLESBURY - GRSA11 - CIPS Remediation - CIPS Dig - FY27" u="1"/>
        <s v="P - FEEDER 21 - MICKLE TRAFFORD TO DEESIDE - MIDE21 - CIPS Remediation - CIPS Dig - FY27" u="1"/>
        <s v="P - FEEDER 11 - BATHGATE TO LONGTOWN 11 - BALO11 - CIPS Remediation - Install new CP System - FY29" u="1"/>
        <s v="P - FEEDER 12 - BATHGATE TO LONGTOWN 12 - BALO12 - CIPS Remediation - Install new CP System - FY27" u="1"/>
        <s v="P - FEEDER 12 - BATHGATE TO LONGTOWN 12 - BALO12 - CIPS Remediation - Install new CP System - FY29" u="1"/>
        <s v="P - Feeder 11- BATHGATE TO LONGTOWN - Transformer - Transformer Rectifier Replacement vol 2" u="1"/>
        <s v="P - Feeder 06- ELTON TO PICKERING 06 - Transformer - Transformer Rectifier Replacement" u="1"/>
        <s v="P - WIRP FUDGE while we await the breakdown between P-114 and P-118" u="1"/>
        <s v="P - CHURCHOVER MULTIJUNCTION - CP Test Post - CP Test Post Replacement/Repair  - P-034" u="1"/>
        <s v="P - NORTH - CIPS Remediation - CIPS Dig - P-027 - Baseline - Draw Down" u="1"/>
        <s v="P - Feeder 15 - LONGTOWN TO PLUMPTON HEAD - LOPL15 - ILI Inspection 1 Dig 1 - FY30" u="1"/>
        <s v="P - NORTH - ILI Inspection - P-001 - Baseline - Draw Down" u="1"/>
        <s v="P - EAST - Watercourse crossings defect resolution - Draw Down" u="1"/>
        <s v="P - WEST - CIPS Remediation - CIPS Dig - P-027 - Baseline - Draw Down" u="1"/>
        <s v="P - NORTH - AC interference PIG tool- to be added to PSSR ILI run - Draw Down" u="1"/>
        <s v="P - Feeder 06- ELTON TO PICKERING 06 - Transformer - Transformer Rectifier Replacement 2" u="1"/>
        <s v="P - Feeder 13 - YAFFORTH TO TOWTON 13 - Transformer - Transformer Rectifier Replacement 2" u="1"/>
        <s v="P - Feeder 06- ELTON TO PICKERING 06 - Transformer - Transformer Rectifier Replacement 3" u="1"/>
        <s v="P - WEST - OLI/4 (Pipeline PSSR Inspection) - Draw Down" u="1"/>
        <s v="P - EAST - AC Protection - Draw Down" u="1"/>
        <s v="P - NORTH - AC Protection - Draw Down" u="1"/>
        <s v="P - WEST - CIPS Remediation - Install new CP system/system Item - Draw Down" u="1"/>
        <s v="P - Feeder 02 - WISBECH NENE WEST TO DUDDINGTON - WIDU02 - ILI Inspection 1 Dig 1 - FY28" u="1"/>
        <s v="P - Feeder 02 - CALDECOTT TO CORBY POWER STATION - CACO02 - ILI Inspection 1 Dig 1 - FY28" u="1"/>
        <s v="P - Feeder 01 - SKITTER TO THORNTON CURTIS DECOMM'D - SKTH01 - Aerial Marker Post Replacement - FY29" u="1"/>
        <s v="P - Feeder 01 - SKITTER TO THORNTON CURTIS DECOMM'D - SKTH01 - Aerial Marker Post Replacement - FY31" u="1"/>
        <s v="P - Feeder 05 - ISLE OF GRAIN TO MEDWAY - ISME05 - Aerial Marker Post Replacement - FY28" u="1"/>
        <s v="P - Feeder 05 - ISLE OF GRAIN TO MEDWAY - ISME05 - Aerial Marker Post Replacement - FY29" u="1"/>
        <s v="P - Feeder 02 - PETERBOROUGH TEE TO EYE - PEEY02 - Aerial Marker Post Replacement - FY27" u="1"/>
        <s v="P - Feeder 02 - PETERBOROUGH TEE TO EYE - PEEY02 - Aerial Marker Post Replacement - FY28" u="1"/>
        <s v="P - Feeder 02 - PETERBOROUGH TEE TO EYE - PEEY02 - Aerial Marker Post Replacement - FY29" u="1"/>
        <s v="P - Feeder 02 - PETERBOROUGH TEE TO EYE - PEEY02 - Aerial Marker Post Replacement - FY31" u="1"/>
        <s v="P - Feeder 04 - SADDLEBOW TO KINGS LYNN PS - SAKI04 - Aerial Marker Post Replacement - FY28" u="1"/>
        <s v="P - Feeder 04 - SADDLEBOW TO KINGS LYNN PS - SAKI04 - Aerial Marker Post Replacement - FY29" u="1"/>
        <s v="P - Feeder 04 - SADDLEBOW TO KINGS LYNN PS - SAKI04 - Aerial Marker Post Replacement - FY31" u="1"/>
        <s v="P - Feeder 03 - WHITWELL TO PETERS GREEN - WHPE03 - Aerial Marker Post Replacement - FY29" u="1"/>
        <s v="P - Feeder 11 - GRAYRIGG TO SAMLESBURY - GRSA11 - Aerial Marker Post Replacement - FY30" u="1"/>
        <s v="P - Feeder 02 - PETERBOROUGH TEE TO EYE - Transformer Rectifier Replacement 1 FY29" u="1"/>
        <s v="P - Feeder 02 - PETERBOROUGH TEE TO EYE - Transformer Rectifier Replacement 1 FY31" u="1"/>
        <s v="P - Feeder 01 - SKITTER TO THORNTON CURTIS DECOMM'D - Transformer Rectifier Replacement FY27" u="1"/>
        <s v="P - Feeder 01 - SKITTER TO THORNTON CURTIS DECOMM'D - Transformer Rectifier Replacement 1 FY29" u="1"/>
        <s v="P - Feeder 01 - SKITTER TO THORNTON CURTIS DECOMM'D - Transformer Rectifier Replacement 1 FY30" u="1"/>
        <s v="P - Feeder 01 - SKITTER TO THORNTON CURTIS DECOMM'D - Transformer Rectifier Replacement 1 FY31" u="1"/>
        <s v="Si- Feeder 02 - PETERBOROUGH TEE TO EYE - Repair CP Test Posts - FY28" u="1"/>
        <s v="Si- Feeder 01 - SKITTER TO THORNTON CURTIS DECOMM'D - Repair CP Test Posts - FY27" u="1"/>
        <s v="Si- Feeder 12 - BATHGATE TO LONGTOWN 12 - Repair CP Test Posts - FY27" u="1"/>
        <s v="P - Feeder 12 - ABERDEEN TO KIRRIEMUIR 12 - ABKI12 - Nitrogen Sleeve Minor Remediation 1" u="1"/>
        <s v="P - Feeder 12 - ABERDEEN TO KIRRIEMUIR 12 - ABKI12 - Nitrogen Sleeve Minor Remediation 8" u="1"/>
        <s v="P - Feeder 12 - ABERDEEN TO KIRRIEMUIR 12 - ABKI12 - Nitrogen Sleeve Minor Remediation 9" u="1"/>
        <s v="P - Feeder 12 - ABERDEEN TO KIRRIEMUIR 12 - ABKI12 - Nitrogen Sleeve Minor Remediation 11" u="1"/>
        <s v="P - Feeder 12 - ABERDEEN TO KIRRIEMUIR 12 - ABKI12 - Nitrogen Sleeve Minor Remediation 12" u="1"/>
        <s v="P - Feeder 12 - ABERDEEN TO KIRRIEMUIR 12 - ABKI12 - Nitrogen Sleeve Minor Remediation 13" u="1"/>
        <s v="P - Feeder 04 - SADDLEBOW TO KINGS LYNN PS - SAKI04 - Nitrogen Sleeve Minor Remediation" u="1"/>
        <s v="P - Feeder 05 - WHITWELL TO PETERS GREEN - WHPE03 - Nitrogen Sleeve Minor Remediation 2 - FY29" u="1"/>
        <s v="P - Feeder 05 - WHITWELL TO PETERS GREEN - WHPE03 - Nitrogen Sleeve Minor Remediation 3 - FY29" u="1"/>
        <s v="P - Feeder 04 - SADDLEBOW TO KINGS LYNN PS - SAKI04 - Nitrogen Sleeve Minor Remediation 2 - FY29" u="1"/>
        <s v="P - Feeder 02 - PETERBOROUGH TEE TO EYE - Transformer Rectifier Replacement 2 FY29" u="1"/>
        <s v="P - Feeder 04 - SADDLEBOW TO KINGS LYNN PS - Transformer Rectifier Replacement 2 FY29" u="1"/>
        <s v="P - Feeder 01 - SKITTER TO THORNTON CURTIS DECOMM'D - Transformer Rectifier Replacement 2 FY30" u="1"/>
        <s v="P - Feeder 01 - SKITTER TO THORNTON CURTIS DECOMM'D - Transformer Rectifier Replacement 2 FY31" u="1"/>
        <s v="P - Feeder 12 - ABERDEEN TO KIRRIEMUIR 12 - ABKI12 - Nitrogen Sleeve Minor Remediation 1 - FY27" u="1"/>
        <s v="P - Feeder 12 - ABERDEEN TO KIRRIEMUIR 12 - ABKI12 - Nitrogen Sleeve Minor Remediation 5 - FY27" u="1"/>
        <s v="P - Feeder 12 - ABERDEEN TO KIRRIEMUIR 12 - ABKI12 - Nitrogen Sleeve Minor Remediation 7 - FY27" u="1"/>
        <s v="P - Feeder 05 - ISLE OF GRAIN TO MEDWAY - ISME05 - Easement Reinstatement (Scrub) - FY31" u="1"/>
        <s v="P - Feeder 02 - PETERBOROUGH TEE TO EYE - PEEY02 - Easement Reinstatement (Scrub) - FY30" u="1"/>
        <s v="P - Feeder 01 - SKITTER TO THORNTON CURTIS DECOMM'D - SKTH01 - Easement Reinstatement (Scrub) - FY27" u="1"/>
        <s v="P - Feeder 01 - SKITTER TO THORNTON CURTIS DECOMM'D - SKTH01 - Easement Reinstatement (Scrub) - FY28" u="1"/>
        <s v="P - Feeder 01 - SKITTER TO THORNTON CURTIS DECOMM'D - SKTH01 - Easement Reinstatement (Scrub) - FY30" u="1"/>
        <s v="P - Feeder 03 - WHITWELL TO PETERS GREEN - WHPE03 - Easement Reinstatement (Scrub) - FY30" u="1"/>
        <s v="P - Feeder 12 - BATHGATE TO LONGTOWN 12 - BALO12 - Easement Reinstatement (Scrub) - FY27" u="1"/>
        <s v="P - Feeder 28 - THREE COCKS TO TIRLEY PRI - THTI28 - Easement Reinstatement (Scrub) - FY28" u="1"/>
        <s v="P - Feeder 14 - PUCKLECHURCH TO ILCHESTER - PULI14 - Easement Reinstatement (Scrub) - FY29" u="1"/>
        <s v="P - Feeder 21 - TREALES TO BURSCOUGH - TRBU21 - Easement Reinstatement (Scrub) - FY31" u="1"/>
        <s v="P - Feeder 05 - ISLE OF GRAIN TO MEDWAY - ISME05 - Easement Reinstatement (Tree) - FY30" u="1"/>
        <s v="P - Feeder 05 - ISLE OF GRAIN TO MEDWAY - ISME05 - Easement Reinstatement (Tree) - FY31" u="1"/>
        <s v="P - Feeder 02 - PETERBOROUGH TEE TO EYE - PEEY02 - Easement Reinstatement (Tree) - FY27" u="1"/>
        <s v="P - Feeder 02 - PETERBOROUGH TEE TO EYE - PEEY02 - Easement Reinstatement (Tree) - FY29" u="1"/>
        <s v="P - Feeder 02 - PETERBOROUGH TEE TO EYE - PEEY02 - Easement Reinstatement (Tree) - FY30" u="1"/>
        <s v="P - Feeder 01 - SKITTER TO THORNTON CURTIS DECOMM'D - SKTH01 - Easement Reinstatement (Tree) - FY29" u="1"/>
        <s v="P - Feeder 01 - SKITTER TO THORNTON CURTIS DECOMM'D - SKTH01 - Easement Reinstatement (Tree) - FY30" u="1"/>
        <s v="P - Feeder 03 - WHITWELL TO PETERS GREEN - WHPE03 - Easement Reinstatement (Tree) - FY30" u="1"/>
        <s v="P - Feeder 03 - WHITWELL TO PETERS GREEN - WHPE03 - Easement Reinstatement (Tree) - FY31" u="1"/>
        <s v="P - Feeder 12 - BATHGATE TO LONGTOWN 12 - BALO12 - Easement Reinstatement (Tree) - FY27" u="1"/>
        <s v="P - Feeder 07 - BARTON STACEY TO MAPPOWDER - BAMA07 - Easement Reinstatement (Tree) - FY27" u="1"/>
        <s v="P- Feeder 10 - ST. FERGUS TO ABERDEEN 10 - STAB10 - SCO2t Feed - P-125" u="1"/>
        <s v="P- Feeder 10 - ABERDEEN TO KIRRIEMUIR 10 - ABKI10 - SCO2t Feed - P-125" u="1"/>
        <s v="P- Feeder 10 - KIRRIEMUIR TO BATHGATE 10 - KIBA10 - SCO2t Feed - P-125" u="1"/>
        <s v="P - LOCATION 09999 - Project Union East Coast - FEED" u="1"/>
        <s v="PA - Cyber-Meter/Analysers/Telemetry - Se-4 - 7215-UE-24-2" u="1"/>
        <s v="PA - Valves - Si-144 - 7040-SS-53-9" u="1"/>
        <s v="PA - Valves - Si-144 - 1234-SS-53-14" u="1"/>
        <s v="PA - Valves - Si-144 - 6021-SS-53-65" u="1"/>
        <s v="PA - Valves - Si-144 - 6021-SS-53-3" u="1"/>
        <s v="PA - Valves - Si-144 - 1739-SS-53-61" u="1"/>
        <s v="PA - Valves - Si-144 - 1424-SS-53-4" u="1"/>
        <s v="PA - Valves - Si-144 - 1234-SS-53-46" u="1"/>
        <s v="Si-Arbroath-633101 Bypass-Installation" u="1"/>
        <s v="Si - AVONBRIDGE COMPRESSOR STATION - Power Transformers - Step Down Transformer Coating Replacement" u="1"/>
        <s v="Si - CHURCHOVER COMPRESSOR STATION - Power Transformers - Converter Transformer Coating Replacement" u="1"/>
        <s v="Si - FELINDRE COMPRESSOR STATION - Power Transformers - Converter Transformer Coating Replacement" u="1"/>
        <s v="Si - FELINDRE COMPRESSOR STATION - Power Transformers - Install DG Analyser" u="1"/>
        <s v="Si - HATTON COMPRESSOR STATION - Power Transformers - Converter Transformer Coating Replacement" u="1"/>
        <s v="Si - KIRRIEMUIR COMPRESSOR STATION - Power Transformers - Install DG Analyser" u="1"/>
        <s v="Si - ABERDEEN COMPRESSOR STATION - Uninterruptible Power Supply -Replace Piller Rotary UPS -  Unit A" u="1"/>
        <s v="Si - ABERDEEN COMPRESSOR STATION - Uninterruptible Power Supply -Replace Piller Rotary UPS - Unit B" u="1"/>
        <s v="Si-AYLESBURY COMPRESSOR STATION-Standby power system  24v DC C&amp;I  -Replace DC UPS (Large) - Compressor Station" u="1"/>
        <s v="Si-CARNFORTH COMPRESSOR STATION-Unit C Switchboard - 30V Trip Supply-Replace DC UPS (Small) - AGIs" u="1"/>
        <s v="Si-FELINDRE COMPRESSOR STATION-C unit 110v - Lube oil battery charger-Replace DC UPS (Large) - Compressor Station" u="1"/>
        <s v="Si-FELINDRE COMPRESSOR STATION-Emergency power system 110v - in LV switchroom -Replace DC UPS (Large) - Compressor Station" u="1"/>
        <s v="Si-HATTON COMPRESSOR STATION-Standby power system  24v DC F&amp;G &amp; C&amp;I -Replace DC UPS (Large) - Compressor Station" u="1"/>
        <s v="Si-HATTON COMPRESSOR STATION-Standby power system  30v DC  -Replace DC UPS (Large) - Compressor Station" u="1"/>
        <s v="Si-HATTON COMPRESSOR STATION-Standby power system  AC UPS -Replace AC UPS (Large) - Compressor Station" u="1"/>
        <s v="Si-LOCKERLEY COMPRESSOR STATION-110v battery-Replace Batteries (Nicad) (Large)" u="1"/>
        <s v="Si-PETERBOROUGH COMPRESSOR STATION-Standby power system  110v DC emergency power-Replace DC UPS (Large) - Compressor Station" u="1"/>
        <s v="Si-PETERBOROUGH COMPRESSOR STATION-Standby power system  24v DC F&amp;G-Replace DC UPS (Large) - Compressor Station" u="1"/>
        <s v="Si-Aberdeen CS-Standby Generator-New load bank installation including switchgear modification" u="1"/>
        <s v="Si-Alrewas CS-Standby Generator-Control System Replacement" u="1"/>
        <s v="Si-Alrewas CS-Standby Generator-Load bank replacement" u="1"/>
        <s v="Si-Bishop Auckland CS-Standby Generator-Control System Replacement" u="1"/>
        <s v="Si-Bishop Auckland CS-Standby Generator-Link box replacement" u="1"/>
        <s v="Si-Carnforth CS-Standby Generator-Link box replacement" u="1"/>
        <s v="Si-Nether Kellet CS-Standby Generator-Control System Replacement" u="1"/>
        <s v="Si -ALDBROUGH - Telemety DC UPS - Replace Batteries (VRLA) (Small)" u="1"/>
        <s v="Si -ALREWAS M/J - Gas Quality - FWACV AC UPS - Replace AC UPS (Small)" u="1"/>
        <s v="Si -ARBROATH - Telemtry  UPS - Replace AC UPS (Small)" u="1"/>
        <s v="Si -ARMADALE - Telemety  UPS - Replace Batteries (VRLA) (Small)" u="1"/>
        <s v="Si -AYLESBEARE - Telemety DC UPS - Replace DC UPS (Small) - AGIs" u="1"/>
        <s v="Si -BEEFORD - Telemetry DC UPS - Replace Batteries (VRLA) (Small)" u="1"/>
        <s v="Si -BLYBOROUGH - Gas Quality - EGMP2 AC UPS - Replace AC UPS (Large)" u="1"/>
        <s v="Si -BRIGG PS - Metering /Gas Quality AC UPS - Replace AC UPS (Small)" u="1"/>
        <s v="Si -BROCKLESBY - Telemetry DC UPS - Replace DC UPS (Small) - AGIs" u="1"/>
        <s v="Si -CAIRNORRIE - Telemetry  DC UPS - Replace Batteries (VRLA) (Small)" u="1"/>
        <s v="Si -CARNFORTH - Telemetry DC UPS - Replace DC UPS (Small) - AGIs" u="1"/>
        <s v="Si -CHALGROVE - Telemetry DC UPS - Replace DC UPS (Small) - AGIs" u="1"/>
        <s v="Si -CHOAKFORD - Telemetry DC UPS - Replace DC UPS (Small) - AGIs" u="1"/>
        <s v="Si -CHURCHOVER M/J - Metering / Gas Quality / Telemetry AC UPS - Replace AC UPS (Small)" u="1"/>
        <s v="Si -CILFREW - Pressure reduction AC UPS - Replace AC UPS (Small)" u="1"/>
        <s v="Si -CORBY PS - Metering AC UPS - Replace AC UPS (Small)" u="1"/>
        <s v="Si -DISS COMP. TEE - Telemetry DC UPS - Replace Batteries (VRLA) (Small)" u="1"/>
        <s v="Si -ELWORTH - Telemetry DC UPS - Replace DC UPS (Small) - AGIs" u="1"/>
        <s v="Si -GANSTEAD - Telemetry DC UPS - Replace DC UPS (Small) - AGIs" u="1"/>
        <s v="Si -HADDINGTON - Telemetry DC UPS - Replace DC UPS (Small) - AGIs" u="1"/>
        <s v="Si -HONEYBOURNE - Telemetry DC UPS - Replace Batteries (VRLA) (Small)" u="1"/>
        <s v="Si -HUNTINGDON - Telemetry DC UPS - Replace DC UPS (Small) - AGIs" u="1"/>
        <s v="Si -KINGS LYNN COMP TEE - Telemetry DC UPS - Replace DC UPS (Small) - AGIs" u="1"/>
        <s v="Si -LITTLE BURDON - Telemetry DC UPS - Replace Batteries (VRLA) (Small)" u="1"/>
        <s v="Si -LLANWRDA - Telemetry DC UPS - Replace Batteries (VRLA) (Small)" u="1"/>
        <s v="Si -LUTTON - Telemetry DC UPS - Replace DC UPS (Small) - AGIs" u="1"/>
        <s v="Si -MEDWAY PS - Telemetry DC UPS - Replace DC UPS (Small) - AGIs" u="1"/>
        <s v="Si -MICHELMERSH - Telemetry DC UPS - Replace Batteries (VRLA) (Small)" u="1"/>
        <s v="Si -NEWTON NOYES - Telemetry DC UPS - Replace DC UPS (Small) - AGIs" u="1"/>
        <s v="Si -PANNAL - Telemetry DC UPS - Replace DC UPS (Small) - AGIs" u="1"/>
        <s v="Si -PETERBOROUGH PS - Metering AC UPS - Replace AC UPS (Small)" u="1"/>
        <s v="Si -RYE HOUSE PS - Metering AC UPS - Replace AC UPS (Small)" u="1"/>
        <s v="Si -SADDLEBOW - Telemetry DC UPS - Replace DC UPS (Small) - AGIs" u="1"/>
        <s v="Si -SHOCKLACH - Gas Quality - FWACV AC UPS - Replace AC UPS (Small)" u="1"/>
        <s v="Si -SHORNE JUNCTION - Gas Quality - EGMP1 AC UPS - Replace AC UPS (Small)" u="1"/>
        <s v="Si -SPROATLEY - Telemetry DC UPS - Replace DC UPS (Small) - AGIs" u="1"/>
        <s v="Si -TILBURY THAMES NORTH - Telemetry DC UPS - Replace DC UPS (Small) - AGIs" u="1"/>
        <s v="Si -TOWTON - Gas Quality - FWACV AC UPS - Replace AC UPS (Small)" u="1"/>
        <s v="Si -WARRINGTON - Telemetry DC UPS - Replace DC UPS (Small) - AGIs" u="1"/>
        <s v="Si -WESTON PT/ICI RUNCORN - Metering AC UPS - Replace AC UPS (Small)" u="1"/>
        <s v="Si - HATTON COMPRESSOR STATION - Drainage - Replace Sewage Treatment System" u="1"/>
        <s v="Si - WORMINGTON COMPRESSOR STATION - Drainage - Replace Sewage Treatment System" u="1"/>
        <s v="Si - BRIGG POWER STATION - Regulators - Fuel Gas/Domestic Gas Supply Pressure Regulator Skid Replacement" u="1"/>
        <s v="Si - DIDCOT POWER STATION - Regulators - Fuel Gas/Domestic Gas Supply Pressure Regulator Skid Replacement" u="1"/>
        <s v="Si - KEADBY POWER STATION - Regulators - Fuel Gas/Domestic Gas Supply Pressure Regulator Skid Replacement" u="1"/>
        <s v="Si - Stallingbor1PS - Regulators - Replace Regulator Stream (Single) - 1" u="1"/>
        <s v="Si - LOCKERLEY COMPRESSOR STATION - Power Transformers - Incomer B - Step Down Transformer Replacement 132Kv" u="1"/>
        <s v="Si - WORMINGTON COMPRESSOR STATION - UPS- Replace DC UPS (Large) - Compressor Station - Standby Power System 100v UPS" u="1"/>
        <s v="SI - Aylesbury - Switchgear - Replacement of LV Switchgear Installation - Main LV switchboard" u="1"/>
        <s v="Si - LUPTON MULTIJUNCTION - Uninterruptible Power Supply - UPS Battery Room Environment Enhancement" u="1"/>
        <s v="Si - WARBURTON MJ - Uninterruptible Power Supply - UPS Battery Room Environment Enhancement" u="1"/>
        <s v="Si - DISS COMPRESSOR STATION - Uninterruptible Power Supply - UPS Battery Room Environment Enhancement" u="1"/>
        <s v="Si - ALREWAS COMPRESSOR STATION - Switchgear - Unit B MCC - Replacement of LV Switchgear Installation" u="1"/>
        <s v="SI - Aylesbury - Switchgear - Replacement of LV Switchgear Installation - Circuit Breaker and Metering board" u="1"/>
        <s v="SI - Aylesbury - Switchgear - Replacement of LV Switchgear Installation - DC MCC C1201A" u="1"/>
        <s v="SI - Bishop Auckland - Switchgear - Replacement of LV Switchgear Installation - Generator ACB" u="1"/>
        <s v="SI - Carnforth - Switchgear - Replacement of LV Switchgear Installation - Unit B AC MCC" u="1"/>
        <s v="SI - Diss - Switchgear - Replacement of LV Switchgear Installation - 110V DC Battery Charger Distribution Board" u="1"/>
        <s v="SI - Diss - Switchgear - Replacement of LV Switchgear Installation - Unit B 110V Emergency MCC" u="1"/>
        <s v="SI - Kings Lynn - Switchgear - Replacement of LV Switchgear Installation - Unit B MCC" u="1"/>
        <s v="SI - Peterborough - Switchgear - Replacement of LV Switchgear Installation - General Services Board" u="1"/>
        <s v="SI - Peterborough - Switchgear - Replacement of LV Switchgear Installation - Unit A MCC" u="1"/>
        <s v="SI - Wormington - Switchgear - Replacement of LV Switchgear Installation - Unit A MCC" u="1"/>
        <s v="SI - Wormington - Switchgear - Replacement of LV Switchgear Installation - Unit B MCC" u="1"/>
        <s v="Si - CENTRAX OT - Boilers - Replace Modular Boiler Package" u="1"/>
        <s v="Si - SAPPERTON - Regulators - Replace Regulator Stream (Single) - 1" u="1"/>
        <s v="Si - HATTON - Regulators - Replace FCV Stream (Single) FCV3" u="1"/>
        <s v="Si - PETERBOROUGH COMP. TEE - Regulators - Replace FCV Stream (Single) FCV2" u="1"/>
        <s v="Si - CHURCHOVER MULTIJUNCTION - Regulators - Replace FCV Stream (Single) FCV1" u="1"/>
        <s v="Si - BATHGATE - Regulators - Replace Regulator Stream PCV/FCV (Single).  FCV/PCV2" u="1"/>
        <s v="Si - LONGTOWN - Regulators - Replace FCV Stream (Single) FCV2" u="1"/>
        <s v="Si - LOCATION 09999 TERMINAL - Heat Exchangers - A STREAM - BURSTING DISC ASSEMBLY - PSSR ES/14/02 BURSTING DISC PROT REPLACEMENT" u="1"/>
        <s v="Si - LOCATION 09999 TERMINAL - Heat Exchangers - B STREAM - BURSTING DISC ASSEMBLY - PSSR ES/14/02 BURSTING DISC PROT REPLACEMENT" u="1"/>
        <s v="Si - STALLINGBOROUGH - Heat Exchangers - BURSTING DISK BD1 - PSSR ES/14/02 BURSTING DISC PROT REPLACEMENT" u="1"/>
        <s v="Si - STALLINGBOROUGH - Heat Exchangers - BURSTING DISK BD2 - PSSR ES/14/02 BURSTING DISC PROT REPLACEMENT" u="1"/>
        <s v="Si - PETERBOROUGH POWER STATION - Heat Exchangers - BURSTING DISCS - PSSR ES/14/02 BURSTING DISC PROT REPLACEMENT" u="1"/>
        <s v="Si - PETERBOROUGH COMPRESSOR STATION - Heat Exchangers - BURSTING DISCS 3BDSK - PSSR ES/14/02 BURSTING DISC PROT REPLACEMENT" u="1"/>
        <s v="Si - RYE HOUSE POWER STATION - Heat Exchangers - BURSTING DISK A - PSSR ES/14/02 BURSTING DISC PROT REPLACEMENT" u="1"/>
        <s v="Si - RYE HOUSE POWER STATION - Heat Exchangers - BURSTING DISK B - PSSR ES/14/02 BURSTING DISC PROT REPLACEMENT" u="1"/>
        <s v="Si - SELLAFIELD POWER STATION - Heat Exchangers - BURSTING DISC BD2 - PSSR ES/14/02 BURSTING DISC PROT REPLACEMENT" u="1"/>
        <s v="Si - SELLAFIELD POWER STATION - Heat Exchangers - BURSTING DISC BD4 - PSSR ES/14/02 BURSTING DISC PROT REPLACEMENT" u="1"/>
        <s v="Si - DIDCOT POWER STATION - Heat Exchangers - BURSTING DISCS BD2 - PSSR ES/14/02 BURSTING DISC PROT REPLACEMENT" u="1"/>
        <s v="Si - CILFREW - Heat Exchangers - BURSTING DISC - PSSR ES/14/02 BURSTING DISC PROT REPLACEMENT" u="1"/>
        <s v="Si - TREADDOW - Heat Exchangers - BURSTING DISC - PSSR ES/14/02 BURSTING DISC PROT REPLACEMENT" u="1"/>
        <s v="Si - CHURCHOVER COMP TEE - Site Earthing &amp; Lightning - Refurbishment of Earthing &amp; Lightning Protection Systems (Large Site)" u="1"/>
        <s v="Si - SUSWORTH TRENT WEST - Site Earthing &amp; Lightning - Refurbishment of Earthing &amp; Lightning Protection Systems (Small Site)" u="1"/>
        <s v="Si - LONGTOWN - Site Earthing &amp; Lightning - Refurbishment of Earthing &amp; Lightning Protection Systems (Large Site)" u="1"/>
        <s v="Si - AYLESBURY - Site Earthing &amp; Lightning - Refurbishment of Earthing &amp; Lightning Protection Systems (Large Site)" u="1"/>
        <s v="Si - KINGS LYNN POWER STATION - Site Earthing &amp; Lightning - Refurb of Earthing &amp; Lightning Protection Systems (Small Site)" u="1"/>
        <s v="Si - PICKMERE - Site Earthing &amp; Lightning - Refurbishment of Earthing &amp; Lightning Protection Systems (Small Site)" u="1"/>
        <s v="Si - BEEFORD - Site Earthing &amp; Lightning - Refurbishment of Earthing &amp; Lightning Protection Systems (Small Site)" u="1"/>
        <s v="Si - WISBECH NENE EAST - Site Earthing &amp; Lightning - Refurbishment of Earthing &amp; Lightning Protection Systems (Large Site)" u="1"/>
        <s v="Si - LUPTON OFFTAKE - Site Earthing &amp; Lightning - Refurbishment of Earthing &amp; Lightning Protection Systems (Small Site)" u="1"/>
        <s v="Si - RHYND - Site Earthing &amp; Lightning - Refurbishment of Earthing &amp; Lightning Protection Systems (Small Site)" u="1"/>
        <s v="Si - KIRRIEMUIR - Site Earthing &amp; Lightning - Refurbishment of Earthing &amp; Lightning Protection Systems (Large Site)" u="1"/>
        <s v="Si - OTTERY ST. MARY - Site Earthing &amp; Lightning - Refurbishment of Earthing &amp; Lightning Protection Systems (Large Site)" u="1"/>
        <s v="Si - SLAPTON - Site Earthing &amp; Lightning - Refurbishment of Earthing &amp; Lightning Protection Systems (Large Site)" u="1"/>
        <s v="Si - SELLAFIELD POWER STATION - Site Earthing &amp; Lightning - Refurb of Earthing &amp; Lightning Protection Systems (Small Site)" u="1"/>
        <s v="Si - STANFORD-LE-HOPE - Site Earthing &amp; Lightning - Refurbishment of Earthing &amp; Lightning Protection Systems (Small Site)" u="1"/>
        <s v="Si - BEEFORD - Small Power - LV Distribution Individual Asset Replacement" u="1"/>
        <s v="Si - SADDLEBOW - Small Power - LV Distribution Individual Asset Replacement" u="1"/>
        <s v="SI - CHURCHOVER COMPRESSOR STATION - Switchgear - Replacement of electronic protection relays - 3" u="1"/>
        <s v="SI - FELINDRE COMPRESSOR STATION - Switchgear - Replacement of electronic protection relays - 1" u="1"/>
        <s v="SI - FELINDRE COMPRESSOR STATION - Switchgear - Replacement of electronic protection relays - 3" u="1"/>
        <s v="SI - HATTON COMPRESSOR STATION - Switchgear - Replacement of electronic protection relays - 1" u="1"/>
        <s v="SI - WORMINGTON COMPRESSOR STATION - Switchgear - Replacement of electronic protection relays - 2" u="1"/>
        <s v="Si-ALREWAS COMPRESSOR STATION-Filters-NT7200STPR-F103-FILTER PSSR ES/94/15 - 2 MAJOR" u="1"/>
        <s v="Si-LOCATION 09999 TERMINAL-Filters-NT1211S3TP-S3A-FILTER PSSR ES/94/15 - 2 MAJOR" u="1"/>
        <s v="Si-LOCATION 09999 TERMINAL-Filters-NT1211S3TP-S3B-FILTER PSSR ES/94/15 - 2 MAJOR" u="1"/>
        <s v="Si-LOCATION 09999 TERMINAL-Filters-NT1211S3TP-S3C-FILTER PSSR ES/94/15 - 2 MAJOR" u="1"/>
        <s v="Si-LOCATION 09999 TERMINAL-Filters-NT1211S2TP-S2B-FILTER PSSR ES/94/15 - 2 MAJOR" u="1"/>
        <s v="Si-CHELMSFORD COMPRESSOR STATION-Filters-NT7230STPR-F104B-FILTER PSSR ES/94/15 - 2 MAJOR" u="1"/>
        <s v="Si-CHELMSFORD COMPRESSOR STATION-Filters-NT7230STPR-F104A-FILTER PSSR ES/94/15 - 2 MAJOR" u="1"/>
        <s v="Si-CORBY POWER STATION-Filters-NT1240FSS1-1240AFILT-FILTER PSSR ES/94/15 - 2 MAJOR" u="1"/>
        <s v="Si-HATTON COMPRESSOR STATION-Filters-NT7270UAFU-F506B-FILTER PSSR ES/94/15 - 2 MAJOR" u="1"/>
        <s v="Si-HATTON COMPRESSOR STATION-Filters-NT7270UBFU-F506B-FILTER PSSR ES/94/15 - 2 MAJOR" u="1"/>
        <s v="Si-HATTON COMPRESSOR STATION-Filters-NT7270STPR-F501A-FILTER PSSR ES/94/15 - 2 MAJOR" u="1"/>
        <s v="Si-HUNTINGDON COMPRESSOR STATION-Filters-NT7205STPR-F502A-FILTER PSSR ES/94/15 - 2 MAJOR" u="1"/>
        <s v="Si-KINGS LYNN COMPRESSOR STATION-Filters-NT7210UDFU-SP002-FILTER PSSR ES/94/15 - 2 MAJOR" u="1"/>
        <s v="Si-KINGS LYNN COMPRESSOR STATION-Filters-NT7210STPR-2101A-FILTER PSSR ES/94/15 - 2 MAJOR" u="1"/>
        <s v="Si-KINGS LYNN COMPRESSOR STATION-Filters-NT7210STPR-2101B-FILTER PSSR ES/94/15 - 2 MAJOR" u="1"/>
        <s v="Si-KIRRIEMUIR COMPRESSOR STATION-Filters-NT7252UBFU-UBF221B-FILTER PSSR ES/94/15 - 2 MAJOR" u="1"/>
        <s v="Si-KIRRIEMUIR COMPRESSOR STATION-Filters-NT7252UAFU-UAF211B-FILTER PSSR ES/94/15 - 2 MAJOR" u="1"/>
        <s v="Si-KIRRIEMUIR COMPRESSOR STATION-Filters-NT7252UCFU-UCF231B-FILTER PSSR ES/94/15 - 2 MAJOR" u="1"/>
        <s v="Si-LITTLE BARFORD POWER STATION-Filters-NT2826FSS1-2826AFILT-FILTER PSSR ES/94/15 - 2 MAJOR" u="1"/>
        <s v="Si-MOFFAT OFFTAKE-Filters-NT7040FSS2-7040BFILT-FILTER PSSR ES/94/15 - 2 MAJOR" u="1"/>
        <s v="Si-NETHER KELLET COMPRESSOR STATION-Filters-NT7285UAFU-S101B-FILTER PSSR ES/94/15 - 2 MAJOR" u="1"/>
        <s v="Si-PETERBOROUGH POWER STATION-Filters-NT1230FSS3-1230CFILT-FILTER PSSR ES/94/15 - 2 MAJOR" u="1"/>
        <s v="Si-RYE HOUSE POWER STATION-Filters-NT2816FSS1-2816AFILT-FILTER PSSR ES/94/15 - 2 MAJOR" u="1"/>
        <s v="Si-SALTEND B.P.-Filters-NT7027FSS2-7027B-FILTER PSSR ES/94/15 - 2 MAJOR" u="1"/>
        <s v="Si-SALTEND B.P.-Filters-NT7027FSS1-7027A-FILTER PSSR ES/94/15 - 2 MAJOR" u="1"/>
        <s v="Si-SELLAFIELD POWER STATION-Filters-NT6608FSS3-6608CFILT-FILTER PSSR ES/94/15 - 2 MAJOR" u="1"/>
        <s v="Si-SELLAFIELD POWER STATION-Filters-NT6608FSS2-6608BFILT-FILTER PSSR ES/94/15 - 2 MAJOR" u="1"/>
        <s v="Si-STALLINGBOROUGH-Filters-NT1908FSS1-1908AFILT-FILTER PSSR ES/94/15 - 2 MAJOR" u="1"/>
        <s v="Si-ABSON-Filters-NT4010FSS1-4010AFILT-FILTER PSSR ES/94/15 - 2 MAJOR" u="1"/>
        <s v="Si-CAMBRIDGE COMPRESSOR STATION-Filters-NT7235UBPR-F103C-FILTER PSSR ES/94/15 - 2 MAJOR" u="1"/>
        <s v="Si-LOCATION 09999 TERMINAL-Filters-NT1211A2TP-A2C-FILTER PSSR ES/94/15 - 2 MAJOR" u="1"/>
        <s v="Si - KEADBY POWER STATION - Heat Exchangers -NT1757HES4-1757DHEX- ES/94/10.1 - PRESSURE VESSEL A/G - FY27" u="1"/>
        <s v="Si - STALLINGBOROUGH - Heat Exchangers -NT1908HES3-1908C- ES/14/01 INT SHELL &amp; TUBE INSPECTION - FY29" u="1"/>
        <s v="Si - STALLINGBOROUGH - Heat Exchangers -NT1908HES4-1908D- ES/14/01 INT SHELL &amp; TUBE INSPECTION - FY29" u="1"/>
        <s v="Si - CORBY POWER STATION - Heat Exchangers -NT1240HES2-1240BHEX- ES/14/01 INT SHELL &amp; TUBE INSPECTION - FY30" u="1"/>
        <s v="Si - RYE HOUSE POWER STATION - Heat Exchangers -NT2816HPR1-2816A- ES/14/01 INT SHELL &amp; TUBE INSPECTION - FY30" u="1"/>
        <s v="Si - RYE HOUSE POWER STATION - Heat Exchangers -NT2816HES2-2816B- ES/14/01 INT SHELL &amp; TUBE INSPECTION - FY30" u="1"/>
        <s v="Si - RYE HOUSE POWER STATION - Heat Exchangers -NT2816HPR2-2816B- ES/14/01 INT SHELL &amp; TUBE INSPECTION - FY30" u="1"/>
        <s v="Si - DIDCOT POWER STATION - Heat Exchangers -NT2034HES1-2034A- ES/14/01 INT SHELL &amp; TUBE INSPECTION - FY29" u="1"/>
        <s v="Si - TIRLEY PRI - Heat Exchangers -NT4629HES2-4629B- ES/14/01 INT SHELL &amp; TUBE INSPECTION - FY28" u="1"/>
        <s v="Si - TREADDOW - Heat Exchangers -NT4622HPR2-4622B- ES/14/01 INT SHELL &amp; TUBE INSPECTION - FY29" u="1"/>
        <s v="Si - KEADBY POWER STATION - Heat Exchangers -NT1757HES1-1757AHEX- ES/14/01 INT SHELL &amp; TUBE INSPECTION - FY29" u="1"/>
        <s v="Si - KEADBY POWER STATION - Heat Exchangers -NT1757HES2-1757BHEX- ES/14/01 INT SHELL &amp; TUBE INSPECTION - FY29" u="1"/>
        <s v="Si - KEADBY POWER STATION - Heat Exchangers -NT1757HES4-1757DHEX- ES/14/01 INT SHELL &amp; TUBE INSPECTION - FY29" u="1"/>
        <s v="Si - STALLINGBOROUGH - Heat Exchangers -NT1908HPR1-1908A- ES/14/01 INT SHELL &amp; TUBE INSPECTION - FY31" u="1"/>
        <s v="Si - STALLINGBOROUGH - Heat Exchangers -NT1908HPR5-1908A- ES/14/01 INT SHELL &amp; TUBE INSPECTION - FY29" u="1"/>
        <s v="Si - STALLINGBOROUGH - Heat Exchangers -NT1908HPR2-1908B- ES/14/01 INT SHELL &amp; TUBE INSPECTION - FY31" u="1"/>
        <s v="Si - KINGS LYNN POWER STATION - Heat Exchangers -NT1424HPR2-1424B- ES/14/01 INT SHELL &amp; TUBE INSPECTION - FY31" u="1"/>
        <s v="Si - KINGS LYNN POWER STATION - Heat Exchangers -NT1424HES2-1424B- ES/14/01 INT SHELL &amp; TUBE INSPECTION - FY31" u="1"/>
        <s v="Si - DIDCOT POWER STATION - Heat Exchangers -NT2034HPR2-2034A- ES/14/01 INT SHELL &amp; TUBE INSPECTION - FY29" u="1"/>
        <s v="Si - TREADDOW - Heat Exchangers -NT4622HPR1-4622A- ES/14/01 INT SHELL &amp; TUBE INSPECTION - FY30" u="1"/>
        <s v="Si - ALREWAS COMPRESSOR STATION - Compressor Distribution Individual Board replacement - DB10" u="1"/>
        <s v="Si - ALREWAS COMPRESSOR STATION - Compressor Distribution Individual Board replacement - DB11" u="1"/>
        <s v="Si - ALREWAS COMPRESSOR STATION - Compressor Distribution Individual Board replacement - DB21" u="1"/>
        <s v="Si - ALREWAS COMPRESSOR STATION - Compressor Distribution Individual Board replacement - DB9" u="1"/>
        <s v="Si - ALREWAS COMPRESSOR STATION - Compressor Distribution Individual Board replacement - MVME3" u="1"/>
        <s v="Si - ALREWAS COMPRESSOR STATION - Compressor Distribution Individual Board replacement - MVMM5" u="1"/>
        <s v="Si - ALREWAS COMPRESSOR STATION - Compressor Distribution Individual Board replacement - D01" u="1"/>
        <s v="Si - AYLESBURY COMPRESSOR STATION - Compressor Distribution Individual Board replacement - DB01" u="1"/>
        <s v="Si - AYLESBURY COMPRESSOR STATION - Compressor Distribution Individual Board replacement - DB18" u="1"/>
        <s v="Si - AYLESBURY COMPRESSOR STATION - Compressor Distribution Individual Board replacement - GSBP2" u="1"/>
        <s v="Si - CHELMSFORD COMPRESSOR STATION - Compressor Distribution Individual Board replacement - DB3" u="1"/>
        <s v="Si - CHELMSFORD COMPRESSOR STATION - Compressor Distribution Individual Board replacement - DMISC" u="1"/>
        <s v="Si - CHURCHOVER COMPRESSOR STATION - Compressor Distribution Individual Board replacement - D03" u="1"/>
        <s v="Si - HATTON COMPRESSOR STATION - Compressor Distribution Individual Board replacement - DB1" u="1"/>
        <s v="Si - HATTON COMPRESSOR STATION - Compressor Distribution Individual Board replacement - DB2" u="1"/>
        <s v="Si - HATTON COMPRESSOR STATION - Compressor Distribution Individual Board replacement - DB26" u="1"/>
        <s v="Si - HATTON COMPRESSOR STATION - Compressor Distribution Individual Board replacement - DB6" u="1"/>
        <s v="Si - HATTON COMPRESSOR STATION - Compressor Distribution Individual Board replacement - DB8" u="1"/>
        <s v="Si - KINGS LYNN COMPRESSOR STATION - Compressor Distribution Individual Board replacement - M011" u="1"/>
        <s v="Si - KINGS LYNN COMPRESSOR STATION - Compressor Distribution Individual Board replacement - STNDITBRD110VOLT" u="1"/>
        <s v="Si - WORMINGTON COMPRESSOR STATION - Compressor Distribution Individual Board replacement - MDU01" u="1"/>
        <s v="Si - LOCKERLEY COMPRESSOR STATION - Compressor Distribution Individual Board replacement - D07" u="1"/>
        <s v="Si - LOCKERLEY COMPRESSOR STATION - Compressor Distribution Individual Board replacement - D08" u="1"/>
        <s v="Si - LOCKERLEY COMPRESSOR STATION - Compressor Distribution Individual Board replacement - D09" u="1"/>
        <s v="Si - LOCKERLEY COMPRESSOR STATION - Compressor Distribution Individual Board replacement - DB3" u="1"/>
        <s v="Si - LOCKERLEY COMPRESSOR STATION - Compressor Distribution Individual Board replacement - DB5" u="1"/>
        <s v="Si - CAMBRIDGE COMPRESSOR STATION - Pipework - A/G Pipework - CM/4 Defect Resolution" u="1"/>
        <s v="Si - DISS COMPRESSOR STATION - Pipework - A/G Pipework - CM/4 Defect Resolution" u="1"/>
        <s v="Si - GOXHILL - Pipework - A/G Pipework - CM/4 Defect Resolution" u="1"/>
        <s v="Si - HATTON - Pipework - A/G Pipework - CM/4 Defect Resolution" u="1"/>
        <s v="Si - KINGS LYNN COMPRESSOR STATION - Pipework - A/G Pipework - CM/4 Defect Resolution" u="1"/>
        <s v="Si - ROSS - Pipework - A/G Pipework - CM/4 Defect Resolution" u="1"/>
        <s v="Si - TEESSIDE BOC - Pipework - A/G Pipework - CM/4 Defect Resolution" u="1"/>
        <s v="Si - THORNTON CURTIS 'A' - Pipework - A/G Pipework - CM/4 Defect Resolution" u="1"/>
        <s v="Si - WILLINGTON - Pipework - A/G Pipework - CM/4 Defect Resolution" u="1"/>
        <s v="Si - ALDBROUGH - Pipework - A/G Pipework - CM/4 Defect Resolution" u="1"/>
        <s v="Si - SHOTWICK - Pipework - A/G Pipework - CM/4 Defect Resolution" u="1"/>
        <s v="Si - COLMWORTH - Pipework - A/G Pipework - CM/4 Defect Resolution" u="1"/>
        <s v="Si - GUESTWICK - Pipework - A/G Pipework - CM/4 Defect Resolution" u="1"/>
        <s v="Si - SWALLOW - Pipework - A/G Pipework - CM/4 Defect Resolution" u="1"/>
        <s v="Si - THORNTON CURTIS B &amp; C - Thornton Curtis Redundant Valves Decommissioning" u="1"/>
        <s v="Si - LOCATION 09999 - Customer Disconnection RIIO3 - Draw Down" u="1"/>
        <s v="Si - AVONBRIDGE COMPRESSOR STATION - Regulators - Replacement of Multistage Pressure Reduction Skid Plant 2" u="1"/>
        <s v="Si - BISHOP AUCKLAND COMPRESSOR STATION - Uninterruptible Power Supply - Replace Piller Rotary UPS (Compressors) - Unit B" u="1"/>
        <s v="Si - FELINDRE COMPRESSOR STATION - Switchgear - Replace on MCC switchgear - Unit C MCC" u="1"/>
        <s v="Si - FELINDRE COMPRESSOR STATION - Uninterruptible Power - Replacement of Uninterruptible Motor Drives (UMD) - Unit A" u="1"/>
        <s v="Si - LOCATION 09999 TERMINAL - Pipe Supports - Replacement of Steel Pipe Supports" u="1"/>
        <s v="Si - LOCATION 09999 TERMINAL - Buildings - Decommission Filter Wash Bay Building at LOCATION 09999 Terminal" u="1"/>
        <s v="Si - ABERDEEN -  - CRITICAL VALVE 62 - Actuator Replacement - Defect: 8338" u="1"/>
        <s v="Si - ABERDEEN - 6021-SS-2-66 - ACTUATOR - GAS/HYDRAULIC 88 - Actuator Replacement - Defect: 16724" u="1"/>
        <s v="Si - ALREWAS COMPRESSOR - 7200-ST-50-1 - Switchgear - Replacement of LV Switchgear Installation - Defect: 7481826" u="1"/>
        <s v="Si - AUCHTERMUCHTY - 6235-SS-53-1 - NON-CRITICAL VALVE 502 - Vent &amp; sealant line replacement  - Defect: 21059" u="1"/>
        <s v="Si - AUCHTERMUCHTY - 6235-SS-53-2 - NON-CRITICAL VALVE 503 - Vent &amp; sealant line replacement  - Defect: 21060" u="1"/>
        <s v="Si - LOCATION 09999 - 1211-F5-53-44 - F5/12 ISOLATION VALVE 2 - Vent &amp; sealant line replacement  - Defect: 19324" u="1"/>
        <s v="Si - BARTON MILLS - 1323-SS-38-1 - ROADWAY TARMAC - Refurbish Site Road/Path (Tarmac) - Defect: 9750" u="1"/>
        <s v="Si - BATHGATE OT - 6055-SS-53-91 - REMOTELY OPERABLE VALVE 10 - SITES1080131- Defect: 10970" u="1"/>
        <s v="Si - CHELMSFORD COMPRESSOR -  - PIPE SUPPORTS - STEEL - Break out of Pit Infrastructure - Defect: 9094" u="1"/>
        <s v="Si - CHURCHOVER COMPRESSOR - 7215-LB-32-7 - PIT01 - Break out of Pit Infrastructure - Defect: 39800" u="1"/>
        <s v="Si - CROOK - 4223-SS-38-1 - ROADWAY TARMAC - Refurbish Site Road/Path (Tarmac) - Defect: 24660" u="1"/>
        <s v="Si - CROOK - 4223-SS-52-1 - Kerb - Repair Site Road/Path (Tarmac) - Defect: 8126" u="1"/>
        <s v="Si - DISS COMP. TEE - 1520-SS-52-1 - Pits - Break out of Pit Infrastructure - Defect: 6859" u="1"/>
        <s v="Si - DISS COMPRESSOR -  - SCRUBBER B VESSEL B - Valve Overhaul  - Defect: 9778" u="1"/>
        <s v="Si - GRASBY BOTTOM - 2203-SS-53-3 - NON CRITICAL VALVE 04 - Vent &amp; sealant line replacement  - Defect: 6833" u="1"/>
        <s v="Si - HUNTINGDON - 2017-SS-37-1 - 1ST STAGE REGULATOR (FCV1) 32 - Replace FCV Stream (Single) - Defect: 2761508" u="1"/>
        <s v="Si - KINGS LYNN COMPRESSOR - 7210-ST-53-450 - RELIEF VALVE FOR MV11229 229 - Actuator Overhaul  - Defect: 15071" u="1"/>
        <s v="Si - KINGS LYNN COMPRESSOR - 7210-ST-53-483 - RELIEF VALVE FOR MV11136 - Actuator Overhaul  - Defect: 15072" u="1"/>
        <s v="Si - KINGS LYNN COMPRESSOR -  - SCRUBBER C SUCTION BALL VALVE 314 - Valve Replacement  - Defect: 5864" u="1"/>
        <s v="Si - MUIRSKIE - 6321-SS-41-1 - FENCE - POST &amp; WIRE OUTER - Replace gate and associated furniture - Defect: 4991" u="1"/>
        <s v="Si - NETHER KELLET COMP. - 7285-LB-4-1 - ALL BUILDINGS &amp; KIOSKS - Building Major Refurb - Defect: 9992" u="1"/>
        <s v="Si - NUFFIELD - 2035-SS-53-12 - CRITICAL NON ROV VALVE 08 - Vent &amp; sealant line replacement  - Defect: 10968" u="1"/>
        <s v="Si - PITSCOTTIE - 6339-SS-38-1 - ROADWAY CONCRETE - Repair Site Road/Path inc renew concrete expansion joints - Defect: 6808" u="1"/>
        <s v="Si - RICKARTON - 6219-SS-42-1 - ACCESS GATE - CHAIN/WIRE MESH INNER - Replace gate and associated furniture - Defect: 19001" u="1"/>
        <s v="Si - RICKARTON - 6219-SS-42-1 - ACCESS GATE - CHAIN/WIRE MESH INNER - Replace fencing - Defect: 19001" u="1"/>
        <s v="Si - ROXWELL - 1530-SS-37-1 - 1ST STAGE REGULATOR STM1 - Replace FCV Stream (Single) - Defect: 10582" u="1"/>
        <s v="Si - SADDLEBOW - 1422-SS-53-4 - REMOTELY OPERABLE VALVE 1 - Valve Replacement  - Defect: 18678" u="1"/>
        <s v="Si - SAPPERTON - 3827-SS-52-1 - Pits - Break out of Pit Infrastructure - Defect: 7111" u="1"/>
        <s v="Si - SLAPTON - 2025-SS-53-1 - NON CRITICAL VALVE 02 - Vent &amp; sealant line replacement  - Defect: 14717" u="1"/>
        <s v="Si - STIRLING - 6135-SS-41-1 - FENCE - CHAIN LINK / WELDED MESH INNER - Replace gate and associated furniture - Defect: 21259" u="1"/>
        <s v="Si - SUSWORTH TRENT EAST - 1749-SS-53-4 - NON CRITICAL VALVE 12 - Stem seal replacement - Defect: 909" u="1"/>
        <s v="Si - THORNTON CURTIS 'A' - 1121-SS-53-6 - CRITICAL VALVE 09 - Valve Replacement  - Defect: 11054" u="1"/>
        <s v="Si - WOOLER - 6357-SS-53-4 - NON CRITICAL VALVE 21 - Vent &amp; sealant line replacement  - Defect: 611570" u="1"/>
        <s v="Si - WOOLER - 6357-SS-53-5 - NON CRITICAL VALVE 22 - Vent &amp; sealant line replacement  - Defect: 611875" u="1"/>
        <s v="Si - WOOLER - 6357-SS-53-18 - REMOTELY OPERABLE VALVE 19 - Vent &amp; sealant line replacement  - Defect: 631270" u="1"/>
        <s v="Si - ABBERWICK - Actuator Replacement - NT6361VCR1-01GHY" u="1"/>
        <s v="Si - ABERDEEN MULTIJUNCTION - Sealant Port Adaption - NT6021VCR1-602104VLV" u="1"/>
        <s v="Si - ABERDEEN MULTIJUNCTION - Actuator Replacement - NT6021VCR1-602108ACT" u="1"/>
        <s v="Si - ABERDEEN MULTIJUNCTION - Actuator Replacement - NT6021VCR1-602106ACT" u="1"/>
        <s v="Si - Bardsey - Sealant Port Adaption - NT1771VNC1-02VNC" u="1"/>
        <s v="Si - BISHOP AUCKLAND - Valve Replacement - NT4841ROV1-484121VLV" u="1"/>
        <s v="Si - CARNFORTH COMPRESSOR STATION - Actuator Replacement - NT7256UCFU-MV5302A" u="1"/>
        <s v="Si - CHELMSFORD COMPRESSOR STATION - Valve Replacement - NT7230UBSP-MV2201" u="1"/>
        <s v="Si - Corbridge - Valve Replacement - NT6369VCR1-636907VLV" u="1"/>
        <s v="Si - DOWLAIS - Valve Replacement - NT3933VNC1-393301VLV" u="1"/>
        <s v="Si - Elton - Sealant Port Adaption - NT5111VNC1-511108VLV" u="1"/>
        <s v="Si - GREAT WILBRAHAM - Sealant Port Adaption - NT1327VNC1-132704VLV" u="1"/>
        <s v="Si - HATTON COMPRESSOR STATION - Valve Replacement - NT7270UADP-HZV2128" u="1"/>
        <s v="Si - HUNTINGDON - Actuator Replacement - NT2017ROV1-201711ACT" u="1"/>
        <s v="Si - HUNTINGDON - Actuator Replacement - NT2017ROV1-201720ACT" u="1"/>
        <s v="Si - HUNTINGDON COMPRESSOR STATION - Valve Replacement - NT7205UCSP-V2303" u="1"/>
        <s v="Si - KIRRIEMUIR COMPRESSOR STATION - Actuator Control Replacement - NT7252UADP-V2105A" u="1"/>
        <s v="Si - KIRRIEMUIR COMPRESSOR STATION - Valve Replacement - NT7252UBDP-V2205" u="1"/>
        <s v="Si - PENICUIK - Stem Seal Replacement - NT4943VCR1-494309VLV" u="1"/>
        <s v="Si - Simprim - Valve Replacement - NT6353VCR1-635302VLV" u="1"/>
        <s v="Si - TILBURY THAMES NORTH - Valve Replacement - NT2731VNC1-273102VLV" u="1"/>
        <s v="Si - WHITWELL - Actuator Replacement - NT8131VCR1-813143ACT" u="1"/>
        <s v="Si - YELVERTON - Valve Replacement - NT1515VNC1-151501VLV" u="1"/>
        <s v="Si - BISHOP AUCKLAND - Actuator Replacement - NT4841ROV1-484164ACT" u="1"/>
        <s v="Si - Hume - Actuator Replacement - NT4935VNC1-10GBX" u="1"/>
        <s v="Si - Saltwick  - Sealant Port Adaption - NT4917VCR1-491701VLV" u="1"/>
        <s v="Si - UFFORD - Sealant Port Adaption - NT1429VCR1-01VCR" u="1"/>
        <s v="Si - Abson - Valves - Replace Filter Isolation Valve with Double Block" u="1"/>
        <s v="Si - Avonbridge Compressor Station - Valves - Replace Filter Isolation Valve with Double Block" u="1"/>
        <s v="Si - Brigg Power Station - Valves - Replace Filter Isolation Valve with Double Block" u="1"/>
        <s v="Si - Cilfrew - Valves - Replace Filter Isolation Valve with Double Block" u="1"/>
        <s v="Si - Keadby Power Station - Valves - Replace Filter Isolation Valve with Double Block" u="1"/>
        <s v="Si - Kings Lynn Power Station - Valves - Replace Filter Isolation Valve with Double Block" u="1"/>
        <s v="Si - Little Barford Power Station - Valves - Replace Filter Isolation Valve with Double Block" u="1"/>
        <s v="Si - Lockerley Compressor Station - Valves - Replace Filter Isolation Valve with Double Block" u="1"/>
        <s v="Si - Medway Power - Valves - Replace Filter Isolation Valve with Double Block" u="1"/>
        <s v="Si - ABERDEEN COMPRESSOR STATION - Standby Generators - Standby Generator Battery Replacement - Station 1 And Unit A &amp; B" u="1"/>
        <s v="Si - CARNFORTH COMPRESSOR STATION - Standby Generators - Standby Generator Battery Replacement" u="1"/>
        <s v="Si - WOOLER COMPRESSOR STATION - Standby Generators - Standby Generator Battery Replacement" u="1"/>
        <s v="Si - AVONBRIDGE COMPRESSOR STATION - Standby Generators - Standby Generator Battery Replacement" u="1"/>
        <s v="Si - AVONBRIDGE COMPRESSOR STATION - Standby Generators - New Load Bank Installation Including Switchgear Modification" u="1"/>
        <s v="Si - TIRLEY PRI - Standby Generators - Standby Generator Battery Replacement" u="1"/>
        <s v="Si - WORMINGTON COMPRESSOR STATION - Standby Generators - New Load Bank Installation Including Switchgear Modification" u="1"/>
        <s v="Si - CHURCHOVER COMPRESSOR STATION - Power Transformer - Install Transec Units - 1 Unit" u="1"/>
        <s v="Si - FELINDRE COMPRESSOR STATION - Power Transformer - Install Transec Unit - Station Auxillary Transformer" u="1"/>
        <s v="Si - FELINDRE COMPRESSOR STATION - Power Transformer - Install Transec Unit - Unit E Converter Transformer" u="1"/>
        <s v="Si - WORMINGTON COMPRESSOR STATION - Power Transformer - Install Transec Units - 1 Unit" u="1"/>
        <s v="Si - LOCKERLEY COMPRESSOR STATION - Power Transformer - Install Transec Unit - 4 Units" u="1"/>
        <s v="Si - KINGS LYNN COMP. TEE - Pits - Break Out Of Pit Infrastructure - Pit 8" u="1"/>
        <s v="Si - ABERDEEN COMPRESSOR STATION - Buildings - Building Minor Refurb - Nt72581Ssp-Mv1001 -  Valve Cabinet" u="1"/>
        <s v="Si - ABERDEEN MULTIJUNCTION - Buildings - Building Minor Refurb - 602183" u="1"/>
        <s v="Si - ABERDEEN MULTIJUNCTION - Buildings - Building Minor Refurb - 602162" u="1"/>
        <s v="Si - ABERDEEN MULTIJUNCTION - Buildings - Building Minor Refurb - 602132" u="1"/>
        <s v="Si - CHOAKFORD - Pipework - A/G Pipework - CM/4 Defect Resolution" u="1"/>
        <s v="Si - ELVANFOOT - Pipework - A/G Pipework - CM/4 Defect Resolution" u="1"/>
        <s v="Si - ELVEDEN - Pipework - A/G Pipework - CM/4 Defect Resolution" u="1"/>
        <s v="Si - FELINDRE COMPRESSOR STATION - Pipework - A/G Pipework - CM/4 Defect Resolution" u="1"/>
        <s v="Si - MAPPOWDER - Pipework - A/G Pipework - CM/4 Defect Resolution" u="1"/>
        <s v="Si - MOFFAT - Pipework - A/G Pipework - CM/4 Defect Resolution" u="1"/>
        <s v="Si - SIMPRIM - Pipework - A/G Pipework - CM/4 Defect Resolution" u="1"/>
        <s v="Si - ST. NEOTS - Pipework - A/G Pipework - CM/4 Defect Resolution" u="1"/>
        <s v="Si - THRUNTON - Pipework - A/G Pipework - CM/4 Defect Resolution" u="1"/>
        <s v="Si - TIRLEY PRI - Pipework - A/G Pipework - CM/4 Defect Resolution" u="1"/>
        <s v="Si - DYMOCK - Pipework - A/G Pipework - CM/4 Defect Resolution" u="1"/>
        <s v="Si - LLANWRDA - Pipework - A/G Pipework - CM/4 Defect Resolution" u="1"/>
        <s v="Si - RHIGOS - Pipework - A/G Pipework - CM/4 Defect Resolution" u="1"/>
        <s v="Si - SLAPTON - Pipework - A/G Pipework - CM/4 Defect Resolution" u="1"/>
        <s v="Si - SWANTON ABBOT - Pipework - A/G Pipework - CM/4 Defect Resolution" u="1"/>
        <s v="Si - TEMPLE CLOUD - Pipework - A/G Pipework - CM/4 Defect Resolution" u="1"/>
        <s v="Si - WESTON POINT - Pipework - A/G Pipework - CM/4 Defect Resolution" u="1"/>
        <s v="Si - GREAT STRICKLAND- Sealant Port Adaption - NT4431VCR1-01VCR" u="1"/>
        <s v="Si - WESTON POINT- Weston Point redundant pressure reduction decommissioning" u="1"/>
        <s v="Si - BARROW- Barrow redundant pressure transmitter decommissioning" u="1"/>
        <s v="Si - CARNFORTH COMPRESSOR STATION - Valves - Valve Replacement  - NT7256UBSC-HZV1310" u="1"/>
        <s v="Si - PETERBOROUGH COMP. TEE - Valves - Actuator Replacement - NT1234ROV1-123431ACT" u="1"/>
        <s v="Si - PETERBOROUGH COMP. TEE - Valves - Actuator Replacement - NT1234VNC1-123451ACT" u="1"/>
        <s v="Si - HATTON - Valves - Actuator Replacement - NT1739ROV3-173941ACT" u="1"/>
        <s v="Si - TIRLEY PRI - Valves - Actuator Replacement - NT4629VNC1-462919ACT" u="1"/>
        <s v="Si - TIRLEY PRI - Valves - Actuator Replacement - NT4629VNC1-462920ACT" u="1"/>
        <s v="Si - TIRLEY PRI - Valves - Actuator Replacement - NT4629VNC1-462922ACT" u="1"/>
        <s v="Si - TIRLEY PRI - Valves - Actuator Replacement - NT4629ROV1-462947ACT" u="1"/>
        <s v="Si - TYDD ST. GILES - Valves - Actuator Replacement - NT1727ROV1-172704ACT" u="1"/>
        <s v="Si - HATTON COMPRESSOR STATION - Valves - Valve Replacement  - NT7270STSP-V727005" u="1"/>
        <s v="Si - HATTON COMPRESSOR STATION - Valves - Valve Replacement  - NT7270UARP-V2152" u="1"/>
        <s v="Si - TOW LAW - Valves - Sealant Port Adaption - NT4221VCR1-422101VLV" u="1"/>
        <s v="Si - CHELMSFORD COMPRESSOR STATION - Valve Replacement  - NT7230UAFU-MV2129" u="1"/>
        <s v="Si - FELINDRE COMPRESSOR STATION - Actuator Replacement - NT7295STSP-XZV100005A" u="1"/>
        <s v="Si - FELINDRE COMPRESSOR STATION - Actuator Replacement - NT7295UACD-XZV210041" u="1"/>
        <s v="Si - FELINDRE COMPRESSOR STATION - Actuator Replacement - NT7295UADP-XZV210025A" u="1"/>
        <s v="Si - FELINDRE COMPRESSOR STATION - Actuator Replacement - NT7295UBCD-XZV220045A" u="1"/>
        <s v="Si - FELINDRE COMPRESSOR STATION - Actuator Replacement - NT7295STDP-XZV400006A" u="1"/>
        <s v="Si - FELINDRE COMPRESSOR STATION - Actuator Replacement - NT7295UCGV-XZV830001A" u="1"/>
        <s v="Si - GESTINGTHORPE - Block valve replacement" u="1"/>
        <s v="Si - RHYND - Block valve replacement" u="1"/>
        <s v="Si - DRUMELDRIE - Block valve modification after pits have been broken out" u="1"/>
        <s v="Si - PAULL MULTIJUNCTION - Pipework - AGI Inspection Tool Survey - Connection 1 Inspection 1" u="1"/>
        <s v="Si - BISHOP AUCKLAND COMPRESSOR STATION - Pipework - AGI Inspection Tool Survey - Connection 1 Inspection 1" u="1"/>
        <s v="Si - LOCATION 9001 TERMINAL - Pipework - AGI Inspection Tool Survey - Connection 1 Inspection 1" u="1"/>
        <s v="Si - LOCATION 09999 TERMINAL - Pipework - AGI Inspection Tool Survey - Connection 2 Inspection 1" u="1"/>
        <s v="Si - CHELMSFORD COMPRESSOR STATION - Pipework - AGI Inspection Tool Survey - Connection 2 Inspection 1" u="1"/>
        <s v="Si - BATHGATE - Pipework - AGI Inspection Tool Survey - Connection 1 Inspection 2" u="1"/>
        <s v="Si - KIRRIEMUIR COMPRESSOR STATION - Pipework - AGI Inspection Tool Survey - Connection 1 Inspection 2" u="1"/>
        <s v="Si - ALREWAS COMPRESSOR STATION - Pipework - AGI Inspection Tool Survey - Connection 1 Inspection 2" u="1"/>
        <s v="Si - NEWTON NOYES - Valve - HIPPS FEED Study - Incomer" u="1"/>
        <s v="Si - HERBRANDSTON - Valve - HIPPS FEED Study - Incomer" u="1"/>
        <s v="Si - FELINDRE COMPRESSOR STATION - Pressure Vessel - Overpressure protection study and repalcement of relief valve" u="1"/>
        <s v="Si - WISBECH COMPRESSOR STATION - Pressure Vessel - Overpressure protection study and repalcement of relief valve" u="1"/>
        <s v="Si - ABERDEEN COMPRESSOR STATION - Pressure Vessel - Overpressure protection study and repalcement of relief valve" u="1"/>
        <s v="Si - AYLESBURY COMPRESSOR STATION - Pressure Vessel - Overpressure protection study and repalcement of relief valve" u="1"/>
        <s v="Si - CHELMSFORD COMPRESSOR STATION - Pressure Vessel - Overpressure protection study" u="1"/>
        <s v="Si - WOOLER COMPRESSOR STATION - Pressure Vessel - Overpressure protection study and repalcement of relief valve" u="1"/>
        <s v="Si - NETHER KELLET COMPRESSOR STATION - Pressure Vessel - Overpressure protection study" u="1"/>
        <s v="Si - CORBRIDGE - Pressure Vessel - Overpressure protection study and repalcement of relief valve" u="1"/>
        <s v="Si - KEADBY POWER STATION - Pressure Vessel - Overpressure protection study and repalcement of relief valve" u="1"/>
        <s v="Si - LITTLE BARFORD POWER STATION - Pressure Vessel - Overpressure protection study and repalcement of relief valve" u="1"/>
        <s v="Si - TIRLEY PRI - Pressure Vessel - Overpressure protection study and repalcement of relief valve" u="1"/>
        <s v="Si - NETHER KELLET - Pressure Vessel - Overpressure protection study and repalcement of relief valve" u="1"/>
        <s v="Si - PETERBOROUGH POWER STATION - Pressure Vessel - Overpressure protection study and repalcement of relief valve" u="1"/>
        <s v="Si - SELLAFIELD POWER STATION - Pressure Vessel - Overpressure protection study and repalcement of relief valve" u="1"/>
        <s v="Si - ALREWAS MULTIJUNCTION - Pressure Vessel - Overpressure protection study and repalcement of relief valve" u="1"/>
        <s v="Si - BURTON POINT - Pressure Vessel - Overpressure protection study and repalcement of relief valve" u="1"/>
        <s v="Si - EASINGTON - Pressure Vessel - Overpressure protection study and repalcement of relief valve" u="1"/>
        <s v="Si - SHORNE - Pressure Vessel - Overpressure protection study and repalcement of relief valve" u="1"/>
        <s v="Si - BRANDON - Pressure Vessel - Overpressure protection study and repalcement of relief valve" u="1"/>
        <s v="Si - BROCKTON - Pressure Vessel - Overpressure protection study and repalcement of relief valve" u="1"/>
        <s v="Si - DRAX - Pressure Vessel - Overpressure protection study and repalcement of relief valve" u="1"/>
        <s v="Si - ELTON - Pressure Vessel - Overpressure protection study and repalcement of relief valve" u="1"/>
        <s v="Si - ISLE OF GRAIN - Pressure Vessel - Overpressure protection study and repalcement of relief valve" u="1"/>
        <s v="Si - LLANWRDA - Pressure Vessel - Overpressure protection study and repalcement of relief valve" u="1"/>
        <s v="Si - PENNINGTON - Pressure Vessel - Overpressure protection study and repalcement of relief valve" u="1"/>
        <s v="Si - TIMBERLAND - Pressure Vessel - Overpressure protection study and repalcement of relief valve" u="1"/>
        <s v="Si - TRANWELL - Pressure Vessel - Overpressure protection study and repalcement of relief valve" u="1"/>
        <s v="Si - SPROATLEY - Pressure Vessel - Overpressure protection study and repalcement of relief valve" u="1"/>
        <s v="Si - STONEHAVEN - Pressure Vessel - Overpressure protection study and repalcement of relief valve" u="1"/>
        <s v="Si - TYDD ST. GILES - Pressure Vessel - Overpressure protection study and repalcement of relief valve" u="1"/>
        <s v="Si - ABERDEEN COMPRESSOR STATION - Flood Risk - Temporary flood interventions" u="1"/>
        <s v="Si - AVONBRIDGE COMPRESSOR STATION - Flood Risk - Temporary flood interventions" u="1"/>
        <s v="Si - CAMBRIDGE COMPRESSOR STATION - Flood Risk - Temporary flood interventions" u="1"/>
        <s v="Si - WORMINGTON COMPRESSOR STATION - Flood Risk - Studies for permanent mitigation" u="1"/>
        <s v="Si - KINGS LYNN COMPRESSOR STATION - Flood Risk - Studies for permanent mitigation" u="1"/>
        <s v="Si - Gravesend Thames south - Flood Risk - Studies for permanent mitigation" u="1"/>
        <s v="Si - HATTON COMPRESSOR STATION -  Temperature Risk - Compressors - Studies and costing for compressor stations and sites." u="1"/>
        <s v="Si - KIRRIEMUIR COMPRESSOR STATION -  Temperature Risk - Compressors - Studies and costing for compressor stations and sites." u="1"/>
        <s v="Si - PETERBOROUGH COMPRESSOR STATION -  Temperature Risk - Compressors - Studies and costing for compressor stations and sites." u="1"/>
        <s v="Si - CAMBRIDGE COMPRESSOR STATION - Pressure Vessels - Replace Fixed Condensate Tank" u="1"/>
        <s v="Si - CHELMSFORD COMPRESSOR STATION - Pressure Vessels - Replace Fixed Condensate Tank" u="1"/>
        <s v="Si - CARNFORTH COMPRESSOR STATION - Pressure Vessels - Replace Fixed Condensate Tank" u="1"/>
        <s v="Si - BLYBOROUGH - Cathodic Protection Equipment - CP-Sites-Install Remote Monitor" u="1"/>
        <s v="Si - PETERHEAD PS - Cathodic Protection Equipment - CP-Sites-Install Remote Monitor" u="1"/>
        <s v="Si - WRAGG MARSH - Cathodic Protection Equipment - CP-Sites-Install Remote Monitor" u="1"/>
        <s v="Si - SIMPRIM - Cathodic Protection Equipment - Insulation Joint Intervention - Replace IJ-45505-Simprim to Wooler" u="1"/>
        <s v="Si - BATHGATE - Cathodic Protection Equipment - CP Survey_Rebalance" u="1"/>
        <s v="Si - BILLINGHAM ICI - Cathodic Protection Equipment - CP Survey_Rebalance" u="1"/>
        <s v="Si - BRIDGE FARM - Cathodic Protection Equipment - CP Survey_Interaction" u="1"/>
        <s v="Si - CHELMSFORD COMPRESSOR STATION - Cathodic Protection Equipment - CP Survey_CIPS defect location(9 defects)" u="1"/>
        <s v="Si - CHURCHOVER COMPRESSOR STATION - Cathodic Protection Equipment - CP Survey_CIPS defect location(9 defects)" u="1"/>
        <s v="Si - COWPEN BEWLEY - Cathodic Protection Equipment - CP Survey-45704-Faulty TR" u="1"/>
        <s v="Si - DIDCOT POWER STATION - Cathodic Protection Equipment - CP Survey_CP System Assessement" u="1"/>
        <s v="Si - DOWLAIS - Cathodic Protection Equipment - CP Survey_Interaction" u="1"/>
        <s v="Si - DYFFRYN CLYDACH - Cathodic Protection Equipment - CP Survey_Interaction" u="1"/>
        <s v="Si - ELVANFOOT - Cathodic Protection Equipment - CP Survey_Rebalance" u="1"/>
        <s v="Si - GILWERN - Cathodic Protection Equipment - CP Survey_CIPS defect location(2 defects)" u="1"/>
        <s v="Si - GOXHILL - Cathodic Protection Equipment - CP Survey-36901-ISS Stray current" u="1"/>
        <s v="Si - HATTON COMPRESSOR STATION - Cathodic Protection Equipment - CP Survey_CIPS defect location(2 defects)" u="1"/>
        <s v="Si - HUNTINGDON - Cathodic Protection Equipment - CP Survey-45397-CIPS profile defects" u="1"/>
        <s v="Si - IPSDEN - Cathodic Protection Equipment - CP Survey_Interaction" u="1"/>
        <s v="Si - KINGS LYNN COMP. TEE - Cathodic Protection Equipment - CP Survey_Rebalance" u="1"/>
        <s v="Si - LLANVETHERINE - Cathodic Protection Equipment - CP Survey-45439-Interaction across the IJ to Peterstow" u="1"/>
        <s v="Si - LONGTOWN - Cathodic Protection Equipment - CP Survey_Rebalance" u="1"/>
        <s v="Si - LUPTON MULTIJUNCTION - Cathodic Protection Equipment - CP Survey_CIPS defect location(1 defect)" u="1"/>
        <s v="Si - MAWDESLEY - Cathodic Protection Equipment - CP Survey_Interaction" u="1"/>
        <s v="Si - PAULL MULTIJUNCTION - Cathodic Protection Equipment - CP Survey-36908-ISS Stray current" u="1"/>
        <s v="Si - PENICUIK - Cathodic Protection Equipment - CP Survey_Interaction" u="1"/>
        <s v="Si - PETERS GREEN - Cathodic Protection Equipment - CP Survey_Interaction" u="1"/>
        <s v="Si - PUCKLECHURCH - Cathodic Protection Equipment - CP Survey_Rebalance" u="1"/>
        <s v="Si - SHANGTON - Cathodic Protection Equipment - CP Survey_Rebalance" u="1"/>
        <s v="Si - SHORNE - Cathodic Protection Equipment - CP Survey_Rebalance" u="1"/>
        <s v="Si - SIMPRIM - Cathodic Protection Equipment - CP Survey_Rebalance" u="1"/>
        <s v="Si - SPROATLEY - Cathodic Protection Equipment - CP Survey_Rebalance" u="1"/>
        <s v="Si - ST. NEOTS - Cathodic Protection Equipment - CP Survey_Rebalance" u="1"/>
        <s v="Si - THEDDLETHORPE TERMINAL - Cathodic Protection Equipment - CP Survey_CIPS defect location(19 defects)" u="1"/>
        <s v="Si - WARMINGHAM - Cathodic Protection Equipment - CP Survey-45544-IJ to EDF may be shorted or bonded" u="1"/>
        <s v="Si - WHEELOCK - Cathodic Protection Equipment - CP Survey-45702-IJ1 subject to serious interaction" u="1"/>
        <s v="Si - WILLINGTON - Cathodic Protection Equipment - CP Survey_Rebalance" u="1"/>
        <s v="Si - WORMINGTON COMPRESSOR STATION - Cathodic Protection Equipment - CP Survey-45750-IJ's" u="1"/>
        <s v="Si - ALREWAS MULTIJUNCTION - Cathodic Protection Equipment - CP System Replacement_Upgrade" u="1"/>
        <s v="Si - GILWERN - Cathodic Protection Equipment - CP System Replacement_Upgrade" u="1"/>
        <s v="Si - CAMBRIDGE COMPRESSOR STATION - Cathodic Protection Equipment - CP Test Post Intervention_Test Post Installation" u="1"/>
        <s v="Si - DIDCOT POWER STATION - Cathodic Protection Equipment - CP Test Post Intervention_Test Post Installation" u="1"/>
        <s v="Si - HATTON COMPRESSOR STATION - Cathodic Protection Equipment - CP Test Post Intervention_Test Post Installation" u="1"/>
        <s v="Si - IsleOfGrainLNG - Cathodic Protection Equipment - CP Test Post Intervention_DC coupon" u="1"/>
        <s v="Si - KINGS LYNN COMP. TEE - Cathodic Protection Equipment - CP Test Post Intervention_Test Post Installation" u="1"/>
        <s v="Si - LITTLE BARFORD POWER STATION - Cathodic Protection Equipment - CP Test Post Intervention_Test Post Installation" u="1"/>
        <s v="Si - PUCKLECHURCH - Cathodic Protection Equipment - CP Test Post Intervention_Test Post Installation and electrode" u="1"/>
        <s v="Si - SHORNE - Cathodic Protection Equipment - CP Test Post Intervention_Test Post Installation" u="1"/>
        <s v="Si - TREADDOW - Cathodic Protection Equipment - CP Test Post Intervention_Permanent reference electrode replacement" u="1"/>
        <s v="Si - WILLINGTON - Cathodic Protection Equipment - CP Test Post Intervention_Test Post Installation" u="1"/>
        <s v="Si - CROWLAND - Pits - Break out of Pit Infrastructure" u="1"/>
        <s v="Si - BARROW - Small Power - AGI LV Distribution Major Refurb" u="1"/>
        <s v="Si - BARROW - Lighting- Column Light - Replace Luminaire and internal column cable RIIO3" u="1"/>
        <s v="Si - BILLINGHAM ICI - Small Power - AGI LV Distribution Major Refurb" u="1"/>
        <s v="Si - BILLINGHAM ICI - Lighting- Column Light - Replace Luminaire and internal column cable RIIO3" u="1"/>
        <s v="Si - Duddington - Small Power - Replacement of Entire AGI Distribution &amp; Wiring Systems" u="1"/>
        <s v="Si - Elton - Lighting- Column Light - Replace Luminaire and internal column cable RIIO3" u="1"/>
        <s v="Si - Haddington - Lighting- Column Light - Replace Luminaire and internal column cable RIIO3" u="1"/>
        <s v="Si - Peterborough Power Station - Lighting- Column Light - Replace Luminaire and internal column cable RIIO3" u="1"/>
        <s v="Si - Warburton - Pipework - Column Light - Replace Luminaire and internal column cable RIIO3" u="1"/>
        <s v="Si - HOLBEACH BANK - Valves - Tighten/ Adjust Stem Seals" u="1"/>
        <s v="Si - NORTH - Cathodic Protection Equipment - CP - IJ Spares (24 Inch)" u="1"/>
        <s v="Si - NORTH - Cathodic Protection Equipment - CP - IJ Spares (30 Inch)" u="1"/>
        <s v="Si - NORTH - Cathodic Protection Equipment - CP - IJ Spares (42 Inch)" u="1"/>
        <s v="Si - TYDD ST. GILES - Pipework - AGI Inspection Tool Survey - Connection 1 Inspection 2" u="1"/>
        <s v="Si - RHYND - Cathodic Protection Equipment - CP Groundbed Replacement_Anode" u="1"/>
        <s v="Si-SIMPRIM-Valves-Valve Replacement -Si-146" u="1"/>
        <s v="Si-ELTON-CP Test Post-Repair CP Test Posts-P-034" u="1"/>
        <s v="Si-SIMPRIM-CP Test Post-Repair CP Test Posts-P-034" u="1"/>
        <s v="Si-RHYND-CP Test Post-Repair CP Test Posts-P-034" u="1"/>
        <s v="Si-HADDINGTON-CP Test Post-Repair CP Test Posts-P-034" u="1"/>
        <s v="Si-BARRINGTON-CP Test Post-Repair CP Test Posts-P-034" u="1"/>
        <s v="Si-MOFFAT-CP Test Post-Repair CP Test Posts-P-034" u="1"/>
        <s v="Si-ROUDHAM HEATH-CP Test Post-Repair CP Test Posts-P-034" u="1"/>
        <s v="Si-YAFFORTH-CP Test Post-Repair CP Test Posts-P-034" u="1"/>
        <s v="Si-BORELAND-Drainage-Repair Drainage-Si-078" u="1"/>
        <s v="Si-LITTLE BARNINGHAM-Roads-Refurbish Site Road/Path (Tarmac)-Si-100" u="1"/>
        <s v="Si-GEDNEY HILL-Roads-Refurbish Site Road/Path (Tarmac)-Si-100" u="1"/>
        <s v="Si-CROWLAND-Roads-Refurbish Site Road/Path (Tarmac)-Si-100" u="1"/>
        <s v="Si-MOFFAT-Pipe Supports-Replace Steel Pipe Supports-Si-183" u="1"/>
        <s v="Si-SIMPRIM-Pipe Supports-Replace Steel Pipe Supports-Si-183" u="1"/>
        <s v="Si-GREAT WILBRAHAM-Pipe Supports-Replace Steel Pipe Supports-Si-183" u="1"/>
        <s v="Si-STOWMARKET-Pipe Supports-Replace Steel Pipe Supports-Si-183" u="1"/>
        <s v="Si-BRAINTREE-Pipe Supports-Replace Steel Pipe Supports-Si-183" u="1"/>
        <s v="Si-DOWLAIS-Pipe Supports-Replace Steel Pipe Supports-Si-183" u="1"/>
        <s v="Si-MOFFAT-Pipe Supports-Replace Concrete Pipe Support with Steel-Si-184" u="1"/>
        <s v="Si-SIMPRIM-Pipe Supports-Replace Concrete Pipe Support with Steel-Si-184" u="1"/>
        <s v="Si-GREAT WILBRAHAM-Pipe Supports-Replace Concrete Pipe Support with Steel-Si-184" u="1"/>
        <s v="Si-STOWMARKET-Pipe Supports-Replace Concrete Pipe Support with Steel-Si-184" u="1"/>
        <s v="Si-TILBURY THAMES NORTH-Pipe Supports-Replace Concrete Pipe Support with Steel-Si-184" u="1"/>
        <s v="Si-BRAINTREE-Pipe Supports-Replace Concrete Pipe Support with Steel-Si-184" u="1"/>
        <s v="Si-DOWLAIS-Pipe Supports-Replace Concrete Pipe Support with Steel-Si-184" u="1"/>
        <s v="Si-ABSON-Pit Wall-Pit Wall Defect-Si-185" u="1"/>
        <s v="Si-BROADWAY-Pit Wall-Pit Wall Defect-Si-185" u="1"/>
        <s v="Si-PUCKLECHURCH-Pit Wall-Pit Wall Defect-Si-185" u="1"/>
        <s v="Si-DOWLAIS-Pit Wall-Pit Wall Defect-Si-185" u="1"/>
        <s v="Si-BURWELL-Pits-Pit Break Out-Si-186" u="1"/>
        <s v="Si-ELVEDEN-Pits-Pit Break Out-Si-186" u="1"/>
        <s v="Si-SALHOUSE-Fencing-Replace Fencing-Si-130" u="1"/>
        <s v="Si-LITTLE BARNINGHAM-Fencing-Replace Fencing-Si-130" u="1"/>
        <s v="Si-YAFFORTH-Valves-Sealant Port Adaption-Si-150" u="1"/>
        <s v="Si-WOOLER-Pipework-CM/4 Defect Resolution-Si-070" u="1"/>
        <s v="Si-PUCKLECHURCH-Pipework-CM/4 Defect Resolution-Si-070" u="1"/>
        <s v="Si-LITTLE BARNINGHAM-Pipework-CM/4 Defect Resolution-Si-070" u="1"/>
        <s v="Si-TILBURY THAMES NORTH-Pipework-CM/4 Defect Resolution-Si-070" u="1"/>
        <s v="Si-MOFFAT-Pipework-CM/4 Defect Resolution-Si-070" u="1"/>
        <s v="Si-BURWELL-Pipework-CM/4 Defect Resolution-Si-070" u="1"/>
        <s v="Si-SIMPRIM-Valves-1 x excavation extension and remediation.-SI-240" u="1"/>
        <s v="Si-ELTON-Valves-1 x excavation extension and remediation.-SI-240" u="1"/>
        <s v="Si-CHARLESTOWN-Valves-2 x excavation extension and pipe replacement-SI-241" u="1"/>
        <s v="Si-BURWELL-Valves-2 x excavation extension and pipe replacement-SI-241" u="1"/>
        <s v="Si-ABSON-Valves-2 x excavation extension and pipe replacement-SI-241" u="1"/>
        <s v="Si-OTTERY ST. MARY-Valves-2 x excavation extension and remediation.-SI-242" u="1"/>
        <s v="Si-ELVEDEN-Valves-2 x excavation extension and remediation.-SI-242" u="1"/>
        <s v="Si-BURWELL-Valves-2 x excavation extension and remediation.-SI-242" u="1"/>
        <s v="Si-MOFFAT-Valves-2 x excavation extension and remediation.-SI-242" u="1"/>
        <s v="Si-HADDINGTON-Valves-BV replacement-Si-257" u="1"/>
        <s v="Si-STOWMARKET-Pipework-CM/4 Defect Resolution-Si-070" u="1"/>
        <s v="Si - WEST - Building - Buildings &amp; Enclosures Asset Monitoring - Si-197 - Draw Down" u="1"/>
        <s v="Si - WEST - Tank - Tank Bund Repair/Relife - Si-116 - Draw Down" u="1"/>
        <s v="Si - WEST - Miscellaneous - Electrical Assets Major Refurbishment - Si-160 - Draw Down" u="1"/>
        <s v="Si - WEST - Road - Site Road/Path Refurbishment (Unbound) - Si-103 - Draw Down" u="1"/>
        <s v="Si - WEST - Miscellaneous - Electrical Assets Replacement - Si-158 - Draw Down" u="1"/>
        <s v="Si - WEST - Building - Building Major Refurbishment - Si-118 - Draw Down" u="1"/>
        <s v="Si - WEST - Valve - Stabbings Removal &amp; Asset Refurbishment - Si-240 - Draw Down" u="1"/>
        <s v="Si - WEST - Pipework - A/G Pipework CM/4 Defect Resolution - Si-070 - Draw Down" u="1"/>
        <s v="Si - WEST - Valve - Stabbings Removal &amp; Asset Refurbishment - Si-239 - Draw Down" u="1"/>
        <s v="Si - WEST - Fence - Fence Replacement - Si-130 - Draw Down" u="1"/>
        <s v="Si - WEST - Drainage - Drainage Assets Repair  - Si-078 - Draw Down" u="1"/>
        <s v="Si - WEST - Pit - Pit Cover Replacement (Concrete with GRP Composite) - Si-245 - Draw Down" u="1"/>
        <s v="Si - EAST - Lighting - Column Light, Luminaire &amp; Cable Replacement - Si-204 - Draw Down" u="1"/>
        <s v="Si - EAST - Scrubber - Scrubber Refurbishment - Si-086 - Draw Down" u="1"/>
        <s v="Si - EAST - Building - Building Major Refurbishment - Si-118 - Draw Down" u="1"/>
        <s v="Si - EAST - Access - Access Platform &amp; Stairs Relifing - Si-075 - Draw Down" u="1"/>
        <s v="Si - EAST - Valve - Valve Strip &amp; Condition Assessment - Si-235 - Draw Down" u="1"/>
        <s v="Si - EAST - Building - Non-Hazardous Area Lighting Luminaire &amp; Cable Replacement - Si-207 - Draw Down" u="1"/>
        <s v="Si - EAST - Valve - Stabbings Removal &amp; Asset Refurbishment - Si-239 - Draw Down" u="1"/>
        <s v="Si - EAST - Valve - Stabbings Removal &amp; Asset Refurbishment - Si-241 - Draw Down" u="1"/>
        <s v="Si - EAST - Plinth - Pipe Support Replacement (Concrete with Steel) - Si-184 - Draw Down" u="1"/>
        <s v="Si - EAST - Drainage - Drainage Assets Repair  - Si-078 - Draw Down" u="1"/>
        <s v="Si - EAST - Building - Building Minor Refurbishment - Si-214 - Draw Down" u="1"/>
        <s v="Si - EAST - Valve - Sealant Port Adaptation  - Si-150 - Draw Down" u="1"/>
        <s v="Si - EAST - Actuator - Actuator Replacement - Si-144 - T3 - Draw Down" u="1"/>
        <s v="Si - EAST - Pit - Pit Cover Replacement (Concrete with GRP Composite) - Si-245 - Draw Down" u="1"/>
        <s v="Si - NORTH - Lighting - Column Light, Luminaire &amp; Cable Replacement - Si-204 - Draw Down" u="1"/>
        <s v="Si - NORTH - Cabling - Electrical Cabling Replacement - Si-040 - Draw Down" u="1"/>
        <s v="Si - NORTH - Road - Road/Path (Concrete) Extension - Si-108 - Draw Down" u="1"/>
        <s v="Si - NORTH - Vibration Rectification? - Si-228 - Draw Down" u="1"/>
        <s v="Si - NORTH - Plinth - Concrete Plinth Repair - Si-229 - Draw Down" u="1"/>
        <s v="Si - NORTH - Address Site Subsidence - Si-279 - Draw Down" u="1"/>
        <s v="Si - NORTH - LV Distrubution Baord - LV Distribution Asset Replacement - Si-164 - Draw Down" u="1"/>
        <s v="Si - NORTH - Site - Address Site Subsidence - Si-074 - Draw Down" u="1"/>
        <s v="Si - NORTH - Access - Access Platform &amp; Stairs Relifing - Si-075 - Draw Down" u="1"/>
        <s v="Si - NORTH - Valve - Valve Strip &amp; Condition Assessment - Si-235 - Draw Down" u="1"/>
        <s v="Si - NORTH - Valve - Stabbings Removal &amp; Asset Refurbishment - Si-240 - Draw Down" u="1"/>
        <s v="Si - NORTH - Valve - Stabbings Removal &amp; Asset Refurbishment - Si-239 - Draw Down" u="1"/>
        <s v="Si - NORTH - Fence - Fence Replacement - Si-130 - Draw Down" u="1"/>
        <s v="Si - NORTH - Plinth - Pipe Support Replacement (Concrete with Steel) - Si-184 - Draw Down" u="1"/>
        <s v="Si - NORTH - Pipeline - Stopple &amp; Bypass - Si-215 - Draw Down" u="1"/>
        <s v="Si - NORTH - Building - Building Minor Refurbishment - Si-214 - Draw Down" u="1"/>
        <s v="Si - NORTH - Pit - Pit Cover Replacement (Concrete with GRP Composite) - Si-245 - Draw Down" u="1"/>
        <s v="Si-Isle of Grain-Valve-Installation of Terminal HIPPS -Si-275" u="1"/>
        <s v="Si-Herbranston-Valve-Installation of Terminal HIPPS -Si-275" u="1"/>
        <s v="Si-LOCATION 09999-Power Transformers-Si-286" u="1"/>
        <s v="Si-LOCATION 09999-Input Devices-Si-291" u="1"/>
        <s v="Si-LOCATION 09999-Buildings-Man Entry Kiosk-Si-289" u="1"/>
        <s v="Si-LOCATION 09999-Valves- Locally Actuated Valve Replacement-Si-292- A1/3" u="1"/>
        <s v="Si-LOCATION 09999-Valves- Locally Actuated Valve Replacement-Si-292- A2/8B" u="1"/>
        <s v="Si-LOCATION 09999-Valves- Locally Actuated Valve Replacement-Si-292- F2-6" u="1"/>
        <s v="Si-LOCATION 09999-Valves- Locally Actuated Valve Replacement-Si-292-F2-13" u="1"/>
        <s v="Si-LOCATION 09999-Valves- Locally Actuated Valve Replacement-Si-292- F2-14" u="1"/>
        <s v="Si-LOCATION 09999-Valves- Locally Actuated Valve Replacement-Si-292- F3/7" u="1"/>
        <s v="Si-LOCATION 09999-Valves- Locally Actuated Valve Replacement-Si-292- F3-12" u="1"/>
        <s v="Si-LOCATION 09999-Valves- Locally Actuated Valve Replacement-Si-292- F5/13" u="1"/>
        <s v="Si-LOCATION 09999-Valves- Locally Actuated Valve Replacement-Si-292- F4-13" u="1"/>
        <s v="Si-LOCATION 09999-Valves- Locally Actuated Valve Replacement-Si-292- A2-2" u="1"/>
        <s v="Si-LOCATION 09999-Valves- Locally Actuated Valve Replacement-Si-292- S1-9B" u="1"/>
        <s v="Si-LOCATION 09999-Valves- Locally Actuated Valve Replacement-Si-292-S1-9C" u="1"/>
        <s v="Si-LOCATION 09999-Valves- Locally Actuated Valve Replacement-Si-292- S3/9C" u="1"/>
        <s v="Si-LOCATION 09999-Valves- Locally Actuated Valve Replacement-Si-292- A1/9A" u="1"/>
        <s v="Si-LOCATION 09999-Valves- Locally Actuated Valve Replacement-Si-292- S3/9A" u="1"/>
        <s v="Si-LOCATION 09999-Valves- Locally Actuated Valve Replacement-Si-292- F4-22A" u="1"/>
        <s v="Si-LOCATION 09999-Valves- Locally Actuated Valve Replacement-Si-292- F5-22B" u="1"/>
        <s v="Si-LOCATION 09999-Valves- Locally Actuated Valve Replacement-Si-292-R1" u="1"/>
        <s v="Si-LOCATION 09999-Valves- Locally Actuated Valve Replacement-Si-292- S3/1" u="1"/>
        <s v="Si-LOCATION 09999-Cathodic Protection Equipment -Si-284" u="1"/>
        <s v="Si-LOCATION 09999-Small Power-Si-285-Distribution board HJ1" u="1"/>
        <s v="Si-LOCATION 09999-Small Power-Si-285-Distribution board VZ" u="1"/>
        <s v="Si-LOCATION 09999-Small Power-Si-285-Distribution board UPS A2" u="1"/>
        <s v="Si-LOCATION 09999-Small Power-Si-285-UPS Distribution board 1" u="1"/>
        <s v="Si-LOCATION 09999-Small Power-Si-285-UPS Distribution board 2" u="1"/>
        <s v="Si- Draft Determination - Dummy - East - Si-256 - IJ - Draw Down" u="1"/>
        <s v="Si- DD Dummy - West - Si-051 - Replace Regulator Stream (Single) - Draw Down" u="1"/>
        <s v="C - LOCKERLEY COMPRESSOR STATION - Station - Electric Generators - Standby Generator replacement" u="1"/>
        <s v="Si - LOCKERLEY COMPRESSOR STATION - Station - Switchgear - High Voltage_Replacement of HV Switchgear Installation" u="1"/>
        <s v="Si-ABERDEEN Compressor Station-Site-Address Subsidence-Si-074" u="1"/>
        <s v="Si-LOCATION 09999 TERMINAL-Site-Address Subsidence-Si-074" u="1"/>
        <s v="Si-GOSBERTON-Site-Address Subsidence-Si-074" u="1"/>
        <s v="Si-KINGS LYNN PS-Site-Address Subsidence-Si-074" u="1"/>
        <s v="Si-WATERMEETINGS-Site-Address Subsidence-Si-074" u="1"/>
        <s v="Si-FARNINGHAM-Access-Platforms and Stairs Relifing-Si-075" u="1"/>
        <s v="Si-SHORNE-Access-Platforms and Stairs Relifing-Si-075" u="1"/>
        <s v="Si-FARNINGHAM-Chambers-Replacement of Covers-Si-077" u="1"/>
        <s v="Si-CHELMSFORD Compressor Station-Drainage-Repair Damaged or Broken -Si-078" u="1"/>
        <s v="Si-CHURCHOVER Compressor Station-Drainage-Repair Damaged or Broken -Si-078" u="1"/>
        <s v="Si-FELINDRE Compressor Station-Drainage-Repair Damaged or Broken -Si-078" u="1"/>
        <s v="Si-CARLISLE 'A'-Road (Tarmac)-Si-100" u="1"/>
        <s v="Si-HUNTINGDON Compressor Station-Road (Tarmac)-Si-100" u="1"/>
        <s v="Si-PICKERING-Road (Tarmac)-Si-100" u="1"/>
        <s v="Si-STONEHAVEN-Road (Tarmac)-Si-100" u="1"/>
        <s v="Si-BALHALGARDY-Road (Concrete)-Si-101" u="1"/>
        <s v="Si-LOCKERLEY COMP. TEE-Road (Concrete)-Si-101" u="1"/>
        <s v="Si-NEW WIMPOLE-Road (Concrete)-Si-101" u="1"/>
        <s v="Si-AVONBRIDGE Compressor Station-Road (Tarmac)-Si-103" u="1"/>
        <s v="Si-LOCATION 09999 TERMINAL-Road (Concrete)-Si-104" u="1"/>
        <s v="Si-FELINDRE Compressor Station-Road (Concrete)-Si-104" u="1"/>
        <s v="Si-LOCATION 09999 TERMINAL-Road (Concrete)-New Path-Si-108" u="1"/>
        <s v="Si-ABERDEEN Compressor Station-Steel Tanks-Repair-Si-114" u="1"/>
        <s v="Si-LOCATION 09999 TERMINAL-Building-Major Refub-Si-118" u="1"/>
        <s v="Si-CARNFORTH-Building-Major Refub-Si-118" u="1"/>
        <s v="Si-KINGS LYNN Compressor Station-Building-Major Refub-Si-118" u="1"/>
        <s v="Si-KIRRIEMUIR Compressor Station-Building-Major Refub-Si-118" u="1"/>
        <s v="Si-OTTERY ST. MARY-Building-Major Refub-Si-118" u="1"/>
        <s v="Si-THORNTON CURTIS B &amp; C-Building-Major Refub-Si-118" u="1"/>
        <s v="Si-TIRLEY PRI-Building-Major Refub-Si-118" u="1"/>
        <s v="Si-LOCATION 09999 TERMINAL-Gate-Replace Gate-Si-121" u="1"/>
        <s v="Si-FETTERCAIRN-Gate-Replace Gate-Si-121" u="1"/>
        <s v="Si-FRANKTON-Gate-Replace Gate-Si-121" u="1"/>
        <s v="Si-GLENBERVIE-Gate-Replace Gate-Si-121" u="1"/>
        <s v="Si-KINHARRACHIE-Gate-Replace Gate-Si-121" u="1"/>
        <s v="Si-LITTLETON DREW-Gate-Replace Gate-Si-121" u="1"/>
        <s v="Si-TYDD ST. GILES-Gate-Replace Gate-Si-121" u="1"/>
        <s v="Si-KINBUCK-Fence-Replace fencing-Si-130" u="1"/>
        <s v="Si-KINHARRACHIE-Fence-Replace fencing-Si-130" u="1"/>
        <s v="Si-LOCATION 09999 TERMINAL-Fence-Repair Fencing-Si-131" u="1"/>
        <s v="Si-CAMBRIDGE Compressor Station-Fence-Repair Fencing-Si-131" u="1"/>
        <s v="Si-HADDINGTON-Fence-Repair Fencing-Si-131" u="1"/>
        <s v="Si-HELSBY-Fence-Repair Fencing-Si-131" u="1"/>
        <s v="Si-LITTLE CAWTHORPE-Fence-Repair Fencing-Si-131" u="1"/>
        <s v="Si-MILNATHORT-Fence-Repair Fencing-Si-131" u="1"/>
        <s v="Si-MUIRSKIE-Fence-Repair Fencing-Si-131" u="1"/>
        <s v="Si-SCOTBY-Fence-Repair Fencing-Si-131" u="1"/>
        <s v="Si-SELLAFIELD POWER STATION-Fence-Repair Fencing-Si-131" u="1"/>
        <s v="Si-STANFORD-LE-HOPE-Fence-Repair Fencing-Si-131" u="1"/>
        <s v="Si-STOWMARKET-Fence-Repair Fencing-Si-131" u="1"/>
        <s v="Si-SUSWORTH TRENT EAST-Fence-Repair Fencing-Si-131" u="1"/>
        <s v="Si-TEESSIDE-Fence-Repair Fencing-Si-131" u="1"/>
        <s v="Si-WISBECH NENE EAST-Fence-Repair Fencing-Si-131" u="1"/>
        <s v="Si-WOODLANDS-Fence-Repair Fencing-Si-131" u="1"/>
        <s v="Si-LOCATION 09999-Actuator-Actuator Control Replacement-Si-143-North - Draw Down" u="1"/>
        <s v="Si-LOCATION 09999-Regulator-Replace Regulator-Si-051-North - Draw Down" u="1"/>
        <s v="Si-LOCATION 09999-Regulator-Replace Regulator-Si-051-West - Draw Down" u="1"/>
        <s v="Si-LOCATION 09999-Valve-Block valve replacement-Si-257-North - Draw Down" u="1"/>
        <s v="Si-Cambridge Compressor Station-Valves-Actuator Replacement-NT7235STBR-MV723501A- SHAFER HSE Action" u="1"/>
        <s v="Si-Cambridge Compressor Station-Valves-Actuator Replacement-NT7235STDP-MV723503A- SHAFER HSE Action" u="1"/>
        <s v="Si-Cambridge Compressor Station-Valves-Actuator Replacement-NT7235STPR-MV5002A- SHAFER HSE Action" u="1"/>
        <s v="Si-Cambridge Compressor Station-Valves-Actuator Replacement-NT7235UAFU-MV2129A- SHAFER HSE Action" u="1"/>
        <s v="Si-Cambridge Compressor Station-Valves-Actuator Replacement-NT7235UAFU-MV2130A- SHAFER HSE Action" u="1"/>
        <s v="Si-Cambridge Compressor Station-Valves-Actuator Replacement-NT7235UBDP-MV2204A- SHAFER HSE Action" u="1"/>
        <s v="Si-Cambridge Compressor Station-Valves-Actuator Replacement-NT7235UBSP-MV2208A- SHAFER HSE Action" u="1"/>
        <s v="Si-Wisbech Compressor Station-Valves-Actuator Replacement-NT7245UADP-724518A-SHAFER HSE Action" u="1"/>
        <s v="Si-Wisbech Compressor Station-Valves-Actuator Replacement-NT7245UBDP-724528A-SHAFER HSE Action" u="1"/>
        <s v="Si-Diss Compressor Station-Valves-Actuator Replacement-NT7228STPR-MV1012AC- SHAFER HSE Action" u="1"/>
        <s v="Si-Diss Compressor Station-Valves-Actuator Replacement-NT7228STSA-MV1101AC- SHAFER HSE Action" u="1"/>
        <s v="Si-Diss Compressor Station-Valves-Actuator Replacement-NT7228STPR-MV1015AC- SHAFER HSE Action" u="1"/>
        <s v="Si-Diss Compressor Station-Valves-Actuator Replacement-NT7228STDP-722803A- SHAFER HSE Action" u="1"/>
        <s v="Si-Diss Compressor Station-Valves-Actuator Replacement-NT7228UADP-MV2103A- SHAFER HSE Action" u="1"/>
        <s v="Si-Diss Compressor Station-Valves-Actuator Replacement-NT7228UAFU-MV2124A- SHAFER HSE Action" u="1"/>
        <s v="Si-Diss Compressor Station-Valves-Actuator Replacement-NT7228UBFU-MV2224A- SHAFER HSE Action" u="1"/>
        <s v="Si-Diss Compressor Station-Valves-Actuator Replacement-NT7228UCSP-MV2311A- SHAFER HSE Action" u="1"/>
        <s v="Si-Diss Compressor Station-Valves-Actuator Replacement-NT7228UCFU-MV2315A- SHAFER HSE Action" u="1"/>
        <s v="Si-Diss Compressor Station-Valves-Actuator Replacement-NT7228UCSP-MV8008A- SHAFER HSE Action" u="1"/>
        <s v="Si-WEST WINCH-Valves-Actuator Replacement-NT1224ROV1-122401ACT- SHAFER HSE Action" u="1"/>
        <s v="Si-MICKLE TRAFFORD-Valves-Actuator Replacement-NT4113ROV1-411303ACT- SHAFER HSE Action" u="1"/>
        <s v="Si-MILWICH-Valves-Actuator Replacement-NT3615ROV1-361502ACT- SHAFER HSE Action" u="1"/>
        <s v="Si-Aspley-Valves-Actuator Replacement-NT3616ROV1-361601ACT- SHAFER HSE Action" u="1"/>
        <s v="Si-Aspley-Valves-Actuator Replacement-NT3616ROV1-361602ACT- SHAFER HSE Action" u="1"/>
        <s v="Si-Aspley-Valves-Actuator Replacement-NT3616ROV1-361603ACT- SHAFER HSE Action" u="1"/>
        <s v="Si-Kirriemuir-Valves-Actuator Replacement-NT6033ROV1-603303ACT- SHAFER HSE Action" u="1"/>
        <s v="Si-Kirriemuir-Valves-Actuator Replacement-NT6033ROV1-603309ACT- SHAFER HSE Action" u="1"/>
        <s v="Si-Kirriemuir-Valves-Actuator Replacement-NT6033ROV1-603311ACT- SHAFER HSE Action" u="1"/>
        <s v="Si-Kirriemuir-Valves-Actuator Replacement-NT6033ROV1-603313ACT- SHAFER HSE Action" u="1"/>
        <s v="Si-Kirriemuir-Valves-Actuator Replacement-NT6033ROV1-603321ACT- SHAFER HSE Action" u="1"/>
        <s v="Si-Kirriemuir-Valves-Actuator Replacement-NT6033ROV1-603323ACT- SHAFER HSE Action" u="1"/>
        <s v="Si - THURNING - Roads - Repair Access Road/Path (Tarmac)" u="1"/>
        <s v="Si - BILLERICAY - Roads - Repair Access Road/Path (Tarmac)" u="1"/>
        <s v="Si-CORBRIDGE-Pipe Supports-Replace Steel Pipe Supports-Si-183" u="1"/>
        <s v="Si-ALREWAS MULTIJUNCTION -Pit Wall-Pit Wall Defect-Si-185" u="1"/>
        <s v="Si-CORBRIDGE-Stopple &amp; Bypass" u="1"/>
        <s v="Si - EAST - Telemetry DC UPS - Replace Batteries (VRLA) (Small) - Draw Down" u="1"/>
        <s v="Si- WEST - Standby Generator-Control System Replacement - Draw Down" u="1"/>
        <s v="Si-WEST-Standby Generator-Day tank replacement - Draw Down" u="1"/>
        <s v="Si-CORBRIDGE-Pipe Supports-Replace Concrete Pipe Support with Steel-Si-184" u="1"/>
        <s v="Si - ABSON - Pits - Break Out Of Pit Infrastructure - Pit" u="1"/>
        <s v="Si - CHARLESTOWN - Cathodic Protection Equipment - Insulation Joint Intervention - Replace IJ" u="1"/>
        <s v="Si - ELTON   - Cathodic Protection Equipment - Insulation Joint Intervention - Replace IJ" u="1"/>
        <s v="Si - YAFFORTH - Cathodic Protection Equipment - Insulation Joint Intervention - Replace IJ" u="1"/>
        <s v="Si - WOOLER - Cathodic Protection Equipment - Insulation Joint Intervention - Replace IJ" u="1"/>
        <s v="Si - BATHGATE - Sealant Port Adaption - NT6055VCR1-605526VLV" u="1"/>
        <s v="Si - BATHGATE - Sealant Port Adaption - NT6055VCR1-605570VLV" u="1"/>
        <s v="Si - CORBRIDGE - Valve Replacement - NT6369VNC1-636901VLV" u="1"/>
        <s v="Si - CORBRIDGE - Valve Replacement - NT6369VNC1-636906VLV" u="1"/>
        <s v="Si - CORBRIDGE - Valve Replacement - NT6369VNC1-636908VLV" u="1"/>
        <s v="Si-CHURCHOVER MULTIJUNCTION-Pipework-CM/4 Defect Resolution-Si-070" u="1"/>
        <s v="Si - CHURCHOVER MULTIJUNCTION - Valve Replacement - NT8147VNC1-814710VLV" u="1"/>
        <s v="Si-TILBURY THAMES NORTH-Pipe Supports-Replace Steel Pipe Supports-Si-183" u="1"/>
        <s v="Si-CHURCHOVER MULTIJUNCTION-Pipe Supports-Replace Steel Pipe Supports-Si-183" u="1"/>
        <s v="Si - ELTON - Pits - Break Out Of Pit Infrastructure" u="1"/>
        <s v="Si-CHURCHOVER MULTIJUNCTION-Valves-1 x excavation extension and remediation.-SI-240" u="1"/>
        <s v="Si-BORELAND-Valves-BV replacement-Si-257" u="1"/>
        <s v="Si-BILLERICAY-Valves-BV replacement-Si-257" u="1"/>
        <s v="Si-LITTLE BARNINGHAM-Valves-BV replacement-Si-257" u="1"/>
        <s v="Si - LOCATION 9001 TERMINAL - Temperature Risk - Above Ground Pipework Coatings - Studies" u="1"/>
        <s v="Si - AVONBRIDGE COMPRESSOR STATION - Temperature Risk - Above Ground Pipework Coatings - Studies" u="1"/>
        <s v="Si - WORMINGTON COMPRESSOR STATION - Temperature Risk - Above Ground Pipework Coatings - Studies" u="1"/>
        <s v="Si - HATTON COMPRESSOR STATION - Temperature Risk - Transformers - Studies and costing for compressor stations" u="1"/>
        <s v="Si - GRAVESEND THAMES SOUTH - Temperature Risk - Transformers - Studies and costing for compressor stations" u="1"/>
        <s v="Si - CHURCHOVER COMPRESSOR STATION - Temperature Risk - Transformers - Studies and costing for compressor stations" u="1"/>
        <s v="Si - LOCKERLEY COMPRESSOR STATION - Temperature Risk - Transformers - Studies and costing for compressor stations" u="1"/>
        <s v="Si - NETHER KELLET COMPRESSOR STATION - Temperature Risk - Transformers - Studies and costing for compressor stations" u="1"/>
        <s v="Si - ILCHESTER - Pipework-CM/4 Defect Resolution - Si-070" u="1"/>
        <s v="Si - GARVALD - Pipework - A/G Pipework - CM/4 Defect Resolution" u="1"/>
        <s v="Si - BLACKNESS - Pipework - A/G Pipework - CM/4 Defect Resolution" u="1"/>
        <s v="Si - STOCKLAND - Pipework - A/G Pipework - CM/4 Defect Resolution" u="1"/>
        <s v="Si - ILCHESTER - Install Ground Guards - Si-129" u="1"/>
        <s v="Si - SUFFIELD - Fence - Replace fencing - Si-130" u="1"/>
        <s v="Si - WATERMEETINGS - Fence - Replace fencing - Si-130" u="1"/>
        <s v="Si - FALAHILL - Stem Seal Replacement - NT4941VCR1-01VCR" u="1"/>
        <s v="Si - PENICUIK - Valves - Tighten/ Adjust Stem Seals - NT4943VNC1-494308VLV" u="1"/>
        <s v="Si - ALREWAS MULTIJUNCTION - Valves - Tighten/ Adjust Stem Seals - NT8157VNC1-815773VLV" u="1"/>
        <s v="Si - ILCHESTER - Sealant Port Adaption - NT2127ROV1-703570VLV" u="1"/>
        <s v="Si - ILCHESTER - Pipe Supports - Replace Steel Pipe Supports - Si-183" u="1"/>
        <s v="Si - BRIDGE FARM - Pipe Supports - Replace Steel Pipe Supports - Si-183" u="1"/>
        <s v="Si - PENICUIK - Pipe Supports - Replace Steel Pipe Supports - Si-183" u="1"/>
        <s v="Si - BOON - Pipe Supports - Replace Steel Pipe Supports - Si-183" u="1"/>
        <s v="Si-BRIDGE FARM-Pipe Supports-Replace Concrete Pipe Support with Steel-Si-184" u="1"/>
        <s v="Si-PENICUIK-Pipe Supports-Replace Concrete Pipe Support with Steel-Si-184" u="1"/>
        <s v="Si-BOON-Pipe Supports-Replace Concrete Pipe Support with Steel-Si-184" u="1"/>
        <s v="Si - TILBURY THAMES NORTH - Pits - Break Out Of Pit Infrastructure - Pit - Si-186" u="1"/>
        <s v="Si - ALREWAS MULTIJUNCTION - Valves-1 x excavation extension and pipe replacement - SI-239" u="1"/>
        <s v="Si - BATHGATE - Valves-1 x excavation extension and remediation - SI-240" u="1"/>
        <s v="Si - BATHGATE - Valves - 2 x excavation extension and remediation - SI-242" u="1"/>
        <s v="Si - LONGTOWN - Valve Replacement - NT4329ROV1-432902VLV" u="1"/>
        <s v="Si - LONGTOWN - Valve Replacement - NT4329VNC1-432909VLV" u="1"/>
        <s v="Si - NORTH - Replace Batteries (VRLA) (Large)- Draw Down" u="1"/>
        <s v="Si-CHURCHOVER MULTIJUNCTION-Pipe Supports-Replace Concrete Pipe Support with Steel-Si-184" u="1"/>
        <s v="Si-CHURCHOVER MULTIJUNCTION-Pit Wall-Pit Wall Defect-Si-185" u="1"/>
        <s v="Si-GESTINGTHORPE-Pit Wall-Pit Wall Defect-Si-185" u="1"/>
        <s v="Si-LAVENHAM-Pit Wall-Pit Wall Defect-Si-185" u="1"/>
        <s v="Si-THURNING-Pit Wall-Pit Wall Defect-Si-185" u="1"/>
        <s v="Si-LITTLE BARNINGHAM-Pit Wall-Pit Wall Defect-Si-185" u="1"/>
        <s v="Si - SUFFIELD - Pits - Break Out Of Pit Infrastructure - Pit" u="1"/>
        <s v="Si - CARRINGTON MOC - Install Ground Guards - Si-129" u="1"/>
        <s v="Si - ABSON - Pipework - CM/4 Defect Resolution - Si-070" u="1"/>
        <s v="Si - HADDINGTON - Pipework - CM/4 Defect Resolution - Si-070" u="1"/>
        <s v="Si - RHYND - Road (Tarmac) - Si-100" u="1"/>
        <s v="Si - PETTINAIN - Gate - Replace Gate - Si-121" u="1"/>
        <s v="Si - HADDINGTON - Pipe Supports - Replace Steel Pipe Supports - Si-183" u="1"/>
        <s v="Si - HADDINGTON - Pipe Supports - Replace Concrete Pipe Support with Steel - Si-184" u="1"/>
        <s v="Si - WATERMEETINGS - Pipe Supports - Replace Concrete Pipe Support with Steel - Si-184" u="1"/>
        <s v="Si - LONGFORMACUS - Pipework - CM/4 Defect Resolution - Si-070" u="1"/>
        <s v="Si - LONGFORMACUS - Valves - Vent &amp; sealant line replacement  - NT6349VNC1-02VNC" u="1"/>
        <s v="Si - LONGFORMACUS - Valves - Vent &amp; sealant line replacement  - NT6349VNC1-03VNC" u="1"/>
        <s v="Si - WEST - Replace Batteries (VRLA) (Large) - Draw Down" u="1"/>
        <s v="Si - WEST - Gas Quallity EGMP-2  AC UPS - Replace AC UPS (Large) - Draw Down" u="1"/>
        <s v="Si - WEST - Gas Quality - EGMP and FWACV AC UPS - Replace AC UPS (Small) - Draw Down" u="1"/>
        <s v="Si - NORTH - Telemetry DC UPS - Replace Batteries (VRLA) (Small) - Draw Down" u="1"/>
        <s v="Si - WEST - Telemetry DC UPS - Replace Batteries (VRLA) (Small) - Draw Down" u="1"/>
        <s v="Si- EAST - Standby Generator-Control System Replacement - Draw Down" u="1"/>
        <s v="Si - WEST - Switchgear - Replacement of LV Switchgear Installation - Draw Down" u="1"/>
        <s v="Si - NORTH - Valves - Valve Replacement -Si-146 - Draw Down" u="1"/>
        <s v="Si - EAST - Valve - Install Bypass - Draw Down" u="1"/>
        <s v="Si - WEST - Valve - Install Bypass - Draw Down" u="1"/>
        <s v="Si - NORTH - Block valve modification after pits have been broken out - Draw Down" u="1"/>
        <s v="Si- NORTH - Temporary Fencing - Se-66 - Draw Down" u="1"/>
        <s v="Si - EAST - Temporary Fencing - Se-66 - Draw Down" u="1"/>
        <s v="Si - WEST - Temporary Fencing-Se-66 - Draw Down" u="1"/>
        <s v="Si - CHALGROVE - Small Power - Replacement of Entire AGI Distribution &amp; Wiring Systems" u="1"/>
        <s v="Si - CHURCHOVER MULTIJUNCTION - Lighting- Column Light - Replace Luminaire and internal column cable" u="1"/>
        <s v="Si - CHALGROVE - Lighting- Column Light - Replace Luminaire and internal column cable" u="1"/>
        <s v="Si - SHOCKLACH - Building - Non-Hazardous Area Lighting Luminaire &amp; Cable Replacement" u="1"/>
        <s v="Si - ALREWAS MULTIJUNCTION - Valve Replacement - NT8157ROV1-815753VLV" u="1"/>
        <s v="Si - WEST - Replace Piller Rotary UPS (Compressors) - Draw Down" u="1"/>
        <s v="Si - EAST - New load bank installation including switchgear modification - Draw Down" u="1"/>
        <s v="Si - WEST - New load bank installation including switchgear modification - Draw Down" u="1"/>
        <s v="Si - NORTH - Link box replacement - Draw Down" u="1"/>
        <s v="Si - WEST - Standby Generator - Link Box Replacement - Draw Down" u="1"/>
        <s v="Si - NORTH - Step Down Transformer Replacement 132Kv - Draw Down" u="1"/>
        <s v="Si - WEST - Step Down Transformer Replacement 132Kv - Draw Down" u="1"/>
        <s v="Si - EAST - Install DG Analyser - Draw Down" u="1"/>
        <s v="Si - EAST - Refurbishment of Earthing &amp; Lightning Protection Systems (Large Site) - Draw Down" u="1"/>
        <s v="Si - EAST - Replace FCV Stream (Single) - Draw Down" u="1"/>
        <s v="Si - NORTH - Replace FCV Stream (Single) - Draw Down" u="1"/>
        <s v="Si - WEST - Replace FCV Stream (Single) - Draw Down" u="1"/>
        <s v="Si - NORTH - Fuel Gas/Domestic Gas Supply Pressure Regulator Skid Replacement - Draw Down" u="1"/>
        <s v="Si - EAST - Replacement of Multistage Pressure Reduction Skid - Draw Down" u="1"/>
        <s v="Si - EAST - AGI Preheating PSSR Inspection - Draw Down" u="1"/>
        <s v="Si - NORTH - AGI Preheating PSSR Inspection - Draw Down" u="1"/>
        <s v="Si - WEST - AGI Preheating PSSR Inspection - Draw Down" u="1"/>
        <s v="Si - EAST - Lagging &amp; Cladding - Replacement of Cladding/Lagging (Small Site) - Draw Down" u="1"/>
        <s v="Si - WEST - Lagging &amp; Cladding - Replacement of Cladding/Lagging (Small Site) - Draw Down" u="1"/>
        <s v="Si - NORTH - GRAID Survey - Draw Down" u="1"/>
        <s v="Si - WEST - Install a new standard valve bypass arrangement - Draw Down" u="1"/>
        <s v="Si - WEST - Replace Fixed Condensate Tank with Mobile Condensate Tank - Draw Down" u="1"/>
        <s v="Si - EAST - Step Down Transformer Coating Replacement - Draw Down" u="1"/>
        <s v="Si - WEST - Step Down Transformer Coating Replacement - Draw Down" u="1"/>
        <s v="Si - WEST - Repair steel tanks - Draw Down" u="1"/>
        <s v="Si - NORTH - Replacement of motor managers on Motor Control Centre (MCC) switchgear - Draw Down" u="1"/>
        <s v="Si - EAST - Actuator Overhaul - Draw Down" u="1"/>
        <s v="Si - EAST - Valve Overhaul - Draw Down" u="1"/>
        <s v="Si - NORTH - Valve Overhaul - Draw Down" u="1"/>
        <s v="Si - WEST - Stem Seal Replacement - Draw Down" u="1"/>
        <s v="Si - EAST - Filter Pssr Inspection And Rectification - Draw Down" u="1"/>
        <s v="Si - NORTH - Compressor Distribution Individual Board replacement - Draw Down" u="1"/>
        <s v="Si - NORTH - Heat Exchanger PSSR Bursting Disc Replacement - Draw Down" u="1"/>
        <s v="Si - EAST - Refurbish Waterbath Heater - Draw Down" u="1"/>
        <s v="Si - NORTH - Refurbish Waterbath Heater - Draw Down" u="1"/>
        <s v="Si - WEST - Refurbish Waterbath Heater - Draw Down" u="1"/>
        <s v="Si - EAST - Replacement of Uninterruptible Motor Drives (UMD) - Draw Down" u="1"/>
        <s v="Si - WEST - Replacement of Uninterruptible Motor Drives (UMD) - Draw Down" u="1"/>
        <s v="Si - NORTH - CP-Sites-Survey - Draw Down" u="1"/>
        <s v="Si - EAST - CP-Sites-System Replacement - Compressors - Draw Down" u="1"/>
        <s v="Si - WEST - CP-Sites-System Replacement - Compressors - Draw Down" u="1"/>
        <s v="Si - EAST - CP-Sites-System Replacement - AGIs - Draw Down" u="1"/>
        <s v="Si - WEST - CP-Sites-System Replacement - AGIs - Draw Down" u="1"/>
        <s v="Si - WEST - CP-Sites-Test Post Intervention - Draw Down" u="1"/>
        <s v="Si - WEST - CP-Sites-Groundbed Intervention (including SAC Anodes) - Draw Down" u="1"/>
        <s v="Si - NORTH - CP-Sites-Install Remote Monitor - Draw Down" u="1"/>
        <s v="Si - EAST - CCA - Flood Risk - Temporary flood interventions for identified impacted sites. - Draw Down" u="1"/>
        <s v="Si - EAST - CCA - Flood Risk - Studies to develop permanent mitigation measures - Draw Down" u="1"/>
        <s v="Si - WEST - CCA - Temperature Risk - Above Ground Pipework Coatings - Studies - Draw Down" u="1"/>
        <s v="Si - EAST - Overpressure protection study and repalcement of relief valve - Draw Down" u="1"/>
        <s v="Si - EAST - HIPPS FEED Study - Draw Down" u="1"/>
        <s v="Si - NORTH - HIPPS FEED Study - Draw Down" u="1"/>
        <s v="Si - WEST - HIPPS FEED Study - Draw Down" u="1"/>
        <s v="Si - EAST - Installation of Terminal HIPPS - Draw Down" u="1"/>
        <s v="Si - NORTH - Installation of Terminal HIPPS - Draw Down" u="1"/>
        <s v="Si - NORTH - CCA - Temperature Risk - Batteries - Studies to develop permanent mitigation measures - Draw Down" u="1"/>
        <s v="Si - WEST - CCA - Temperature Risk - Batteries - Studies to develop permanent mitigation measures - Draw Down" u="1"/>
        <s v="Si - LONGFORMACUS - Valves - Actuator Replacement - NT6349VCR1-01GHY" u="1"/>
        <s v="Si - SIMPRIM - Actuator Replacement -" u="1"/>
        <s v="Si - SIMPRIM - Valve Replacement -" u="1"/>
        <s v="Si - BISHOP AUCKLAND COMPRESSOR STATION - Replace Luminaire and internal column cable RIIO3 3" u="1"/>
        <s v="Si - BISHOP AUCKLAND COMPRESSOR STATION - Replace Luminaire and internal column cable RIIO3 9" u="1"/>
        <s v="Si - KIRRIEMUIR COMPRESSOR STATION - Replace Luminaire and internal column cable RIIO3 3" u="1"/>
        <s v="Si - KIRRIEMUIR COMPRESSOR STATION - Replace Luminaire and internal column cable RIIO3 4" u="1"/>
        <s v="Si - KIRRIEMUIR COMPRESSOR STATION - Hazardous Area Lighting Luminaire &amp; Cable Replacement" u="1"/>
        <s v="Si - PARTINGTON - Access - Platforms and Stairs Relifing - Si-075" u="1"/>
        <s v="Si-MARYKIRK-Replace fencing-Si-130" u="1"/>
        <s v="Si-CHURCHOVER MULTIJUNCTION-Replacement of Concrete Pipe Support with Steel Pipe Support-Si-184" u="1"/>
        <s v="Si-CHURCHOVER MULTIJUNCTION-Replacement of Steel Pipe Supports-Si-183" u="1"/>
        <s v="Si - DOWLAIS - Pipework - A/G Pipework - CM/4 Defect Resolution" u="1"/>
        <s v="C -ALREWAS COMPRESSOR STATION- Unit A - Gas Turbine - N/A - Overhaul" u="1"/>
        <s v="C -CARNFORTH COMPRESSOR STATION- Unit C - Gas Turbine - N/A - Overhaul" u="1"/>
        <s v="C -ALREWAS COMPRESSOR STATION- Unit A - Gas Turbine - N/A - Fuel gas conditioning skid installation" u="1"/>
        <s v="C -CAMBRIDGE COMPRESSOR STATION- Unit A - Gas Turbine - N/A - Fuel gas conditioning skid installation" u="1"/>
        <s v="C -CAMBRIDGE COMPRESSOR STATION- Unit B - Gas Turbine - N/A - Fuel gas conditioning skid installation" u="1"/>
        <s v="C -AVONBRIDGE COMPRESSOR STATION- Unit 2B - Compressor - N/A - Decommission" u="1"/>
        <s v="C -ABERDEEN COMPRESSOR STATION- Unit C - Valve - NRV2301 - Overhaul" u="1"/>
        <s v="C -BISHOP AUCKLAND COMPRESSOR STATION- Station - Valve - NRV1001 - Overhaul" u="1"/>
        <s v="C -BISHOP AUCKLAND COMPRESSOR STATION- Unit B - Valve - NRV2201 - Overhaul" u="1"/>
        <s v="C -KIRRIEMUIR COMPRESSOR STATION- Unit A - Valve - V2101 - Overhaul" u="1"/>
        <s v="C -LOCKERLEY COMPRESSOR STATION- Unit A - Valve - NRV2102 - Overhaul" u="1"/>
        <s v="C -KINGS LYNN COMPRESSOR STATION- Emissions Work - C-094 Outage - Asset Health 2" u="1"/>
        <s v="C -CAMBRIDGE COMPRESSOR STATION- Unit A - Gas Turbine - N/A - Install lube oil conditioning skid" u="1"/>
        <s v="C -CAMBRIDGE COMPRESSOR STATION- Unit B - Gas Turbine - N/A - Install lube oil conditioning skid" u="1"/>
        <s v="C -AVONBRIDGE COMPRESSOR STATION- Unit 1A - Gas Turbine - N/A - Install lube oil conditioning skid" u="1"/>
        <s v="C -HATTON COMPRESSOR STATION- Unit A - Gas Turbine - N/A - Install lube oil conditioning skid" u="1"/>
        <s v="C -WORMINGTON COMPRESSOR STATION- C-095 Outage -  Outage Asset Health 1" u="1"/>
        <s v="C -KIRRIEMUIR COMPRESSOR STATION- Unit E - Compressor - Centrifugal - Rewheel" u="1"/>
        <s v="C -ALREWAS COMPRESSOR STATION- Unit B - Oil System - N/A - Major Refurb" u="1"/>
        <s v="C -AYLESBURY COMPRESSOR STATION- Unit B - Oil System - N/A - Major Refurb" u="1"/>
        <s v="C -CHELMSFORD COMPRESSOR STATION- Unit A - Oil System - N/A - Major Refurb" u="1"/>
        <s v="C -KIRRIEMUIR COMPRESSOR STATION- Unit B - Oil System - N/A - Major Refurb" u="1"/>
        <s v="C -NETHER KELLET COMPRESSOR STATION- Site - Multijunction - N/A - Reverse Flow Modifications" u="1"/>
        <s v="C - ALREWAS COMPRESSOR STATION - Unit A - Cab - Exhaust Stack - Replace" u="1"/>
        <s v="C - ALREWAS COMPRESSOR STATION - Unit B - Cab - Exhaust Stack - Replace" u="1"/>
        <s v="C - ALREWAS COMPRESSOR STATION - Unit A - Cab - Ventilation - Replace" u="1"/>
        <s v="C - ALREWAS COMPRESSOR STATION - Unit A - Cab - Air Intake - Replace" u="1"/>
        <s v="C - KINGS LYNN COMPRESSOR STATION - Unit C - Cab - Air Intake - Replace" u="1"/>
        <s v="C - CARNFORTH  COMPRESSOR STATION - Unit C - Cab - N/A - Survey" u="1"/>
        <s v="C - LOCKERLY  COMPRESSOR STATION - Unit B - Cab - N/A - Survey" u="1"/>
        <s v="C - ABERDEEN  COMPRESSOR STATION - Unit A - Cab - N/A - Survey" u="1"/>
        <s v="C - AYLESBURY  COMPRESSOR STATION - Unit B - Cab - N/A - Survey" u="1"/>
        <s v="C - Kirriemuir - Unit E - Variable Speed Drive - HV Cables - Remediation" u="1"/>
        <s v="C - Felindre - Unit A - Variable Speed Drive - Harmonic Filter Trench Relays - Replacement" u="1"/>
        <s v="C - Hatton - Unit D - Variable Speed Drive - Harmonic Filter Trench Relays - Replacement" u="1"/>
        <s v="C - FELINDRE COMPRESSOR STATION - Unit A - Variable Speed Drive - HV Motor - Stator Rewind" u="1"/>
        <s v="C - CHURCHOVER COMPRESSOR STATION - Unit E - Variable Speed Drive - HV Cables - Testing" u="1"/>
        <s v="C - WORMINGTON COMPRESSOR STATION - Unit C - Variable Speed Drive - HV Cables - Testing" u="1"/>
        <s v="C-LOCATION 9001 - GAS COMPRESSOR - EMISSION COMPLIANCE  - UNIT 1B" u="1"/>
        <s v="C -LOCATION 9001 - VENTING SYSTEM - SURVEY" u="1"/>
        <s v="C- LOCATION 9001 - VESSEL - REPLACEMENT-LOW POINT DRAIN TANK PLANT 2/4" u="1"/>
        <s v="C- LOCATION 9001 - VESSEL - REPLACEMENT-LOW POINT DRAIN TANK PLANT 6" u="1"/>
        <s v="C - LOCATION 9001 - UNIT 3B - OVERSPEED MODULES - SPARES" u="1"/>
        <s v="C- LOCATION 9001 - PLANT 3 CONTAINERS HVAC SYSTEM - REPLACEMENT - UNIT 3B HARMONIC FILTER CONTAINER  AIR CONDITIONER" u="1"/>
        <s v="C- LOCATION 9001 - PLANT 3 CONTAINERS HVAC SYSTEM - REPLACEMENT - UNIT 3B  LV CONTAINER AIR CONDITIONER" u="1"/>
        <s v="C- LOCATION 9001 - PLANT 3 CONTAINERS HVAC SYSTEM - REPLACEMENT - UNIT 3A HARMONIC FILTER CONTAINER  AIR CONDITIONER" u="1"/>
        <s v="C -LOCATION 9001 - STANDBY GENERATORS - STANDBY GENERATORS REFURBISHMENT -PLANT 1" u="1"/>
        <s v="C- LOCATION 9001 - UNIT 3A - HV MOTOR  - OVERHAUL" u="1"/>
        <s v="C- LOCATION 9001 - UNIT 3B - HV MOTOR  - OVERHAUL" u="1"/>
        <s v="LOCATION 9001 Electric Drives Harmonic Filter Minor Refurb" u="1"/>
        <s v="C - LOCATION 9001 - UNIT 3A - PURGE UNIT - VERIFICATION AND RE-VALIDATION OF HV MOTOR EX'P' PRESSURISATION SYSTEM" u="1"/>
        <s v="C - LOCATION 9001 - UNIT 1B - FUEL GAS  HEATING MOFICATION" u="1"/>
        <s v="C - LOCATION 9001 - UNIT 1D - FUEL GAS  HEATING MOFICATION" u="1"/>
        <s v="C - LOCATION 9001 - UNIT 2B - FUEL GAS  HEATING MOFICATION" u="1"/>
        <s v="C - LOCATION 9001 FILTER PSSR INSPECTION AND RECTIFICATION-MAIN FUEL GAS FILTER A" u="1"/>
        <s v="C - LOCATION 9001 FILTER PSSR INSPECTION AND RECTIFICATION-MAIN FUEL GAS FILTER A 3A" u="1"/>
        <s v="C - LOCATION 9001 FILTER PSSR INSPECTION AND RECTIFICATION-MAIN FUEL GAS FILTER B" u="1"/>
        <s v="C - LOCATION 9001 FILTER PSSR INSPECTION AND RECTIFICATION-MAIN FUEL GAS FILTER C 3C" u="1"/>
        <s v="C - LOCATION 9001 FILTER PSSR INSPECTION AND RECTIFICATION-MAIN FUEL GAS FILTER D" u="1"/>
        <s v="C-LOCATION 9001 - DECOMISSION REDUNDANT ASSETS - PLANT 1 ENERGY PODS" u="1"/>
        <s v="C-LOCATION 9001 - DECOMISSION REDUNDANT ASSETS - MTB WENDY HOUSE AND GAS EQUIPMENT" u="1"/>
        <s v="C-LOCATION 9001 - DECOMISSION REDUNDANT ASSETS - OLD CP SYSTEM" u="1"/>
        <s v="C-LOCATION 9001 - DECOMISSION REDUNDANT ASSETS - PRAS PLINTH" u="1"/>
        <s v="C- LOCATION 9001 - PRESSURE VESSEL - REPLACEMENT-CONDENSATE TANK PLANT 1" u="1"/>
        <s v="C- LOCATION 9001 - PRESSURE VESSEL - REPLACEMENT-CONDENSATE TANK PLANT 2" u="1"/>
        <s v="LOCATION 9001 REPLACEMENT OF POWER FACTOR CORRECTION UNITS - POWER FACTOR CORRECTION UNIT" u="1"/>
        <s v="C-LOCATION 9001 - VALVE STRIP AND CONDITION ASSESSEMENT-24 Inch VALVE" u="1"/>
        <s v="C-LOCATION 9001 - VALVE STRIP AND CONDITION ASSESSEMENT-30 Inch VALVE" u="1"/>
        <s v="C-LOCATION 9001 - VALVE STRIP AND CONDITION ASSESSEMENT-6 Inch VALVE" u="1"/>
        <s v="C-LOCATION 9001 - VALVE STRIP AND CONDITION ASSESSEMENT-8 Inch VALVE" u="1"/>
        <s v="C - HATTON COMPRESSOR STATION - Unit D - Variable Speed Drive - HV Cables - Testing" u="1"/>
        <s v="C - HATTON COMPRESSOR STATION - Unit D - Variable Speed Drive - HV Motor - Gasket Replacement" u="1"/>
        <s v="C - KIRRIEMUIR COMPRESSOR STATION - Unit E - Variable Speed Drive - HV Motor - Gasket Replacement" u="1"/>
        <s v="C - KIRRIEMUIR COMPRESSOR STATION - Unit E - Variable Speed Drive - Cooling System - Survey" u="1"/>
        <s v="C - LOCKERLY COMPRESSOR STATION - Unit B - Variable Speed Drive - Cooling System - Survey" u="1"/>
        <s v="C - ABERDEEN  COMPRESSOR STATION - Unit A - Cab - Ventilation - Replace" u="1"/>
        <s v="C - BISHOP AUCKLAND  COMPRESSOR STATION - Unit B - Cab - Ventilation - Replace" u="1"/>
        <s v="C - NETHER KELLET  COMPRESSOR STATION - Unit B - Cab - Ventilation - Replace" u="1"/>
        <s v="C -PETERBOROUGH COMPRESSOR STATION- Unit D - Gas Turbine - N/A - Install BAM 2.0" u="1"/>
        <s v="C -NETHER KELLET COMPRESSOR STATION- Unit A - Crane - N/A - Install Upgrade to electic" u="1"/>
        <s v="C -NETHER KELLET COMPRESSOR STATION- Unit B - Gas Turbine - N/A - Overhaul" u="1"/>
        <s v="C -DISS COMPRESSOR STATION- Unit B - Seal - Major Refurb" u="1"/>
        <s v="C -CHURCHOVER COMPRESSOR STATION- Unit D- Valve - XV6517 - Overhaul" u="1"/>
        <s v="C -HUNTINGDON COMPRESSOR STATION- Unit C - Valve - V2381 - Overhaul" u="1"/>
        <s v="C -WOOLER COMPRESSOR STATION- Station - Valve - NT7250STSP - Overhaul" u="1"/>
        <s v="C -BISHOP AUCKLAND COMPRESSOR STATION- Unit A - Valve - NRV2101 - Overhaul" u="1"/>
        <s v="C - WEST - Vent System - N/A - Pipework Minor Refurb - Draw Down" u="1"/>
        <s v="C -FELINDRE COMPRESSOR STATION- Station - Vent System - N/A - Vent Stack Replacement" u="1"/>
        <s v="C - EAST - Gas Turbine - Trial Hydrogen Electrolyser - Draw Down" u="1"/>
        <s v="C -LOCKERLEY COMPRESSOR STATION- N/A - Gas Turbine - N/A - Install Mopico Unit" u="1"/>
        <s v="Dummy LOCATION 09999 Tier 1 T2 UM - T2" u="1"/>
        <s v="C - VARIOUS - N/A - Compressor - N/A - NET ZERO UM - Draw Down" u="1"/>
        <s v="C - Aberdeen Compressor Station - Unit B - Gas Turbine - Replace Exhaust Lagging" u="1"/>
        <s v="C - Aberdeen Compressor Station - Unit A - Gas Turbine - Replace flexible hose assemblies" u="1"/>
        <s v="C - Aberdeen Compressor Station - Unit B - Valves - Implement automatic stroking on Fuel Metering Valves" u="1"/>
        <s v="C - Carnforth Compressor Station - Unit C - Gas Turbine - Rectify HMI and Communications issues on Carnforth C" u="1"/>
        <s v="C - Aberdeen Compressor Station - Unit B - Valves - Replace LM2500+ Fuel Gas Valves" u="1"/>
        <s v="C - Bishop Auckland Compressor Station - Unit B - Valves - Replace LM2500+ Fuel Gas Valves" u="1"/>
        <s v="C - Bishop Auckland Compressor Station - Unit A - Gas Turbine - Replace Frame mounted Accelerometer" u="1"/>
        <s v="C - Bishop Auckland Compressor Station - Unit A - Gas Turbine - Replace PT bearing sump chip detector" u="1"/>
        <s v="C - Aberdeen Compressor Station - Unit B - Gas Turbine - Update HMI with HP Recoup Calculations" u="1"/>
        <s v="C - Aberdeen Compressor Station - Unit A - Gas Turbine - Modify Lube Oil Drain Skid" u="1"/>
        <s v="C - Aberdeen Compressor Station - Unit B - Gas Turbine - Modify Lube Oil Drain Skid" u="1"/>
        <s v="C - Bishop Auckland Compressor Station - Unit A - Gas Turbine - Modify Lube Oil Drain Skid" u="1"/>
        <s v="C - Bishop Auckland Compressor Station - Unit B - Gas Turbine - Modify Lube Oil Drain Skid" u="1"/>
        <s v="C - Felindre Compressor Station - Unit C - Gas Turbine - Install seal gas booster" u="1"/>
        <s v="C - Huntingdon Compressor Station - Unit E - Gas Turbine - Install seal gas booster" u="1"/>
        <s v="C - Avonbridge Compressor Station - Gas Turbine - Replace Ignitor Box" u="1"/>
        <s v="C - Wooler Compressor Station - Gas Turbine - Replace Ignitor Box" u="1"/>
        <s v="C - Bishop Auckland Compressor Station - Unit B - Gas Turbine - Implement Slow Roll System and install staging valve monitoring" u="1"/>
        <s v="C - Felindre Compressor Station - Unit C - Exhaust Muffler - N/A - Replacement" u="1"/>
        <s v="C - ABERDEEN COMPRESSOR STATION - VENTING SYSTEM - Vent Stack Survey" u="1"/>
        <s v="C - AYLESBURY COMPRESSOR STATION - VENTING SYSTEM - Vent Stack Survey" u="1"/>
        <s v="C - CARNFORTH COMPRESSOR STATION - VENTING SYSTEM - Vent Stack Survey" u="1"/>
        <s v="C - CHURCHOVER COMPRESSOR STATION - VENTING SYSTEM - Vent Stack Survey" u="1"/>
        <s v="C - HATTON COMPRESSOR STATION - VENTING SYSTEM - Vent Stack Survey" u="1"/>
        <s v="C - HUNTINGDON COMPRESSOR STATION - VENTING SYSTEM - Vent Stack Survey" u="1"/>
        <s v="C - KINGS LYNN COMPRESSOR STATION - VENTING SYSTEM - Vent Stack Survey" u="1"/>
        <s v="C - LOCKERLEY COMPRESSOR STATION - VENTING SYSTEM - Vent Stack Survey" u="1"/>
        <s v="C - WORMINGTON COMPRESSOR STATION - VENTING SYSTEM - Vent Stack Survey" u="1"/>
        <s v="C -WISBECH COMPRESSOR STATION- Unit B - Compressor - N/A - Decommission Unit" u="1"/>
        <s v="C -CAMBRIDGE COMPRESSOR STATION- Site - Multijunction - N/A - Reverse Flow Modifications" u="1"/>
        <s v="C -CAMBRIDGE COMPRESSOR STATION- Unit A - Compressor - N/A - Performance Testing" u="1"/>
        <s v="C -CAMBRIDGE COMPRESSOR STATION- Unit B - Compressor - N/A - Performance Testing" u="1"/>
        <s v="C -CAMBRIDGE COMPRESSOR STATION- Unit C - Compressor - N/A - Performance Testing" u="1"/>
        <s v="C -DISS COMPRESSOR STATION- Unit B - Compressor - N/A - Performance Testing" u="1"/>
        <s v="C -KIRRIEMUIR COMPRESSOR STATION- Unit B - Seal - Major Refurb" u="1"/>
        <s v="C -HUNTINGDON COMPRESSOR STATION- Unit C - Bearing - Major Refurb" u="1"/>
        <s v="C -WORMINGTON COMPRESSOR STATION- Unit A - Bearing - Major Refurb" u="1"/>
        <s v="C -CAMBRIDGE COMPRESSOR STATION- Unit A - Impeller - Major Refurb" u="1"/>
        <s v="C -LOCKERLEY COMPRESSOR STATION- N/A - Compressor - N/A - Remote Condition Monitoring" u="1"/>
        <s v="C-LOCATION 9001 Valve replacement -ABOVE GROUND - 36 Inch V12008" u="1"/>
        <s v="C-LOCATION 9001 Valve replacement -BURIED - 30 Inch V21053" u="1"/>
        <s v="C-LOCATION 9001 Valve replacement -BURIED - 30 Inch V21063" u="1"/>
        <s v="C-LOCATION 9001 Valve replacement -BURIED - 36 Inch V21003" u="1"/>
        <s v="C-LOCATION 9001 Valve replacement -BURIED - 36 Inch V43011" u="1"/>
        <s v="C-LOCATION 9001 Valve replacement -PIT- 24 Inch V12023" u="1"/>
        <s v="C- LOCATION 9001 Actuator replacement  - ABOVE GROUND - 36 Inch 601302" u="1"/>
        <s v="C- LOCATION 9001 Valve and Actuator replacement -ABOVE GROUND - 18 Inch 601320VLV" u="1"/>
        <s v="C- LOCATION 9001 Valve and Actuator replacement -ABOVE GROUND - 36 Inch 601332VLV" u="1"/>
        <s v="C- LOCATION 9001 Valve and Actuator replacement -BURIED - 36 Inch V14007" u="1"/>
        <s v="C- LOCATION 9001 Valve and Actuator replacement -BURIED - 36 Inch V24006" u="1"/>
        <s v="C- LOCATION 9001 Valve and Actuator replacement -BURIED - 36 Inch V24008" u="1"/>
        <s v="C- LOCATION 9001 Valve and Actuator replacement - PIT- 6 Inch V22017 FCV" u="1"/>
        <s v="C- LOCATION 9001 Valve and Manual gearbox replacement  - BURIED - 30 Inch V21064" u="1"/>
        <s v="C- LOCATION 9001 Valve and Manual gearbox replacement  - BURIED - 30 Inch V21031" u="1"/>
        <s v="C- LOCATION 9001 Valve and Manual gearbox replacement  - BURIED - 36 Inch V41004" u="1"/>
        <s v="C- LOCATION 9001 Valve and Manual gearbox replacement  - BURIED - 36 Inch V41008" u="1"/>
        <s v="C- LOCATION 9001 Valve and Manual gearbox replacement  - BURIED - 36 Inch V41008 (2-outage)" u="1"/>
        <s v="C- LOCATION 9001 Valve and Manual gearbox replacement  - BURIED - 36 Inch V41010" u="1"/>
        <s v="C- LOCATION 9001 Valve and Manual gearbox replacement  - BURIED - 36 Inch V41011" u="1"/>
        <s v="C- LOCATION 9001 Valve and Manual gearbox replacement  - BURIED - 36 Inch V41012" u="1"/>
        <s v="C- LOCATION 9001 Valve and Manual gearbox replacement  - BURIED - 36 Inch V41013" u="1"/>
        <s v="C- LOCATION 9001 Valve and Manual gearbox replacement  - PIT- 30 Inch V12101" u="1"/>
        <s v="C- LOCATION 9001 Valve and Handpump replacement  - ABOVE GROUND - 36 Inch 601313VLV" u="1"/>
        <s v="C- LOCATION 9001 Valve and Handpump replacement  - ABOVE GROUND - 36 Inch 601316VLV" u="1"/>
        <s v="C- LOCATION 9001 Valve and Handpump replacement  - ABOVE GROUND - 8 Inch 601315VLV" u="1"/>
        <s v="C-LOCATION 9001 New Valve and Manual gearbox installation -BURIED - 36 Inch NEW ASSET B - Incomer 1" u="1"/>
        <s v="C-LOCATION 9001 New Valve and Manual gearbox installation -BURIED - 36 Inch NEW ASSET - Feeder11" u="1"/>
        <s v="C-LOCATION 9001 New Valve and Actuator HIPPS compliant -BURIED - 36 Inch NEW ASSET B -Incomer 4" u="1"/>
        <s v="C - LOCATION 9001 - PIPELINE PROTECTION - CP INSULATION JOINT REPLACEMENT - FEEDER 10 IJ" u="1"/>
        <s v="C- LOCATION 9001 -  RE-ROUTE PIPEWORK THROUGH PITWALL TRANSITIONS  - INCOMER 2 - PWT A" u="1"/>
        <s v="C- LOCATION 9001 -  RE-ROUTE PIPEWORK THROUGH PITWALL TRANSITIONS  - PLANT 2 -PWT B" u="1"/>
        <s v="C- LOCATION 9001 -  RE-ROUTE PIPEWORK THROUGH PITWALL TRANSITIONS  - INCOMER 4 -PWT A" u="1"/>
        <s v="C -ALREWAS COMPRESSOR STATION- Unit C - Inlet Strainer - N/A - Removal" u="1"/>
        <s v="C - WEST - Asbestos - Asbestos Condition Survey (Small Site) - C-181 - Draw Down" u="1"/>
        <s v="C - WEST - Asbestos - Asbestos Condition Survey (Large Site) - C-180 - Draw Down" u="1"/>
        <s v="C - WEST - N2 Snuffing - N2 Snuffing &amp; Molecular Seal Major Refurbishment - C-237 - Draw Down" u="1"/>
        <s v="C - EAST - Vent Valve - Modulating Vent Valve Overhaul - C-127 - Draw Down" u="1"/>
        <s v="C - NORTH - Vent Valve - Modulating Vent Valve Overhaul - C-127 - Draw Down" u="1"/>
        <s v="C - LOCKERLEY COMPRESSOR STATION - Unit A - Electric Drives - Frequency Converter - Replacement" u="1"/>
        <s v="C-LOCATION 9001 Terminal-LOCATION 9001 Drainage and sewage Repair-C-379" u="1"/>
        <s v="C - ABERDEEN COMPRESSOR STATION UC - Charge Recompression Trial" u="1"/>
        <s v="C - PETERBOROUGH COMPRESSOR STATION UD - Charge Recompression Trial" u="1"/>
        <s v="C - LOCATION 9001 TERMINAL - Remediation of defects at LOCATION 9001 areas 3 and 6 - C-387" u="1"/>
        <s v="C - PETERBOROUGH COMPRESSOR STATION - Decom Compressor Station Buildings" u="1"/>
        <s v="C - WEST-  Valve - Overhauls - Draw Down" u="1"/>
        <s v="C -WORMINGTON COMPRESSOR STATION- Unit A - Impeller - Major Refurb - WIRP Funding" u="1"/>
        <s v="C - NORTH - Mobile flaring for recompressions - Draw Down" u="1"/>
        <s v="C -DISS COMPRESSOR STATION- Unit B - Valve - NRV2003 - Overhaul" u="1"/>
        <s v="C -DISS COMPRESSOR STATION- Unit C - Valve - NRV2004 - Overhaul" u="1"/>
        <s v="C - NORTH -  Valve - Overhauls - Draw Down" u="1"/>
        <s v="C - ABERDEEN COMPRESSOR STATION- Unit C - Bearing - Major Refurb" u="1"/>
        <s v="C - WEST - Air Intake Replacement - Draw Down" u="1"/>
        <s v="C - WEST - Cab Surveys (To inform T4) - Draw Down" u="1"/>
        <s v="C - NORTH - Gas Generator Overhauls - GE LM2500s - Draw Down" u="1"/>
        <s v="C - WEST - Gas Generator Overhauls - GE LM2500s - Draw Down" u="1"/>
        <s v="C - EAST - Gas Generator Overhauls - Siemens SGT400s - Draw Down" u="1"/>
        <s v="C - NORTH - Gas Generator Overhauls - Siemens SGT400s - Draw Down" u="1"/>
        <s v="C - WEST - Gas Generator Overhauls - Siemens SGT400s - Draw Down" u="1"/>
        <s v="C - WEST - Power Turbine Overhauls - Dresser Vectra - Draw Down" u="1"/>
        <s v="C - EAST - Power Turbine Overhauls - GEC EAS1 / ERB1 - Draw Down" u="1"/>
        <s v="C - WEST - Power Turbine Overhauls - GEC EAS1 / ERB1 - Draw Down" u="1"/>
        <s v="C - NORTH - Install Fuel Gas Conditioning Skids - Draw Down" u="1"/>
        <s v="C - WEST - Install Lube Oil Conditioning Skids - Draw Down" u="1"/>
        <s v="C - NORTH - Impeller Major Refurb - Draw Down" u="1"/>
        <s v="C - NORTH - Inlet strainers removal - Draw Down" u="1"/>
        <s v="C - WEST - Inlet strainers removal - Draw Down" u="1"/>
        <s v="C - EAST - Electric Drives - Harmonic Filter - Minor Refurb - Draw Down" u="1"/>
        <s v="C - WEST - Electric Drives - Harmonic Filter - Minor Refurb - Draw Down" u="1"/>
        <s v="C - NORTH - Fire Suppression: Replacement of Electric Water Pump System - Draw Down" u="1"/>
        <s v="C - EAST - Electric Drives - Power Cables Remediation And Earthing - Draw Down" u="1"/>
        <s v="C - NORTH - Electric Drives - Power Cables Remediation And Earthing - Draw Down" u="1"/>
        <s v="C - EAST - Electric Drives - Cables Testing - Draw Down" u="1"/>
        <s v="C - WEST - GG/PT/Compressor Oil System Major Refurb - Draw Down" u="1"/>
        <s v="C - EAST - Electric Drives - Motorhood gasket replacement - Draw Down" u="1"/>
        <s v="C - NORTH - Electric Drives - Motorhood gasket replacement - Draw Down" u="1"/>
        <s v="C - WEST - Electric Drives - Motorhood gasket replacement - Draw Down" u="1"/>
        <s v="C - NORTH - Install BAM 2.0 - Draw Down" u="1"/>
        <s v="C - WEST - Install BAM 2.0 - Draw Down" u="1"/>
        <s v="C - WEST - Upgrade to electic crane - Draw Down" u="1"/>
        <s v="C - EAST - Vent System Survey - Draw Down" u="1"/>
        <s v="C - NORTH - Vent System Survey - Draw Down" u="1"/>
        <s v="C - WEST - Vent System Survey - Draw Down" u="1"/>
        <s v="C - EAST - Replace Cab Doors - Draw Down" u="1"/>
        <s v="C - NORTH - Replace Cab Doors - Draw Down" u="1"/>
        <s v="C - EAST - Replace Exhaust Lagging - Draw Down" u="1"/>
        <s v="C - WEST - Replace Exhaust Lagging - Draw Down" u="1"/>
        <s v="C - NORTH - Implement automatic stroking on Fuel Metering Valves - Draw Down" u="1"/>
        <s v="C - EAST - Replace LM2500+ Fuel Gas Valves - Draw Down" u="1"/>
        <s v="C - NORTH - Replace LM2500+ Fuel Gas Valves - Draw Down" u="1"/>
        <s v="C - NORTH - Enhanced Emissions Control - Draw Down" u="1"/>
        <s v="C - WEST - Enhanced Emissions Control - Draw Down" u="1"/>
        <s v="C - EAST - Install seal gas booster - Draw Down" u="1"/>
        <s v="C - EAST - Implement Anti-Choke System - Draw Down" u="1"/>
        <s v="C - NORTH - Replace Ignitor Box - Draw Down" u="1"/>
        <s v="C - WEST - Rectify Combustion and Air Inlet Drains - Draw Down" u="1"/>
        <s v="C - EAST - Replace Inconel Bolts for Exhaust to transition piece - Draw Down" u="1"/>
        <s v="C - NORTH - Replace Inconel Bolts for Exhaust to transition piece - Draw Down" u="1"/>
        <s v="Cu-001 - TEESSIDE TERMINAL - Minimum Exit Connection" u="1"/>
        <s v="Cu-001 - ALREWAS TO CHURCHOVER 14 - Exit Connection" u="1"/>
        <s v="Cu-001 - DEESIDE AGI - Minimum Offtake Connection" u="1"/>
        <s v="Cu-001 - PETERBOROUGH TO HUNTINGDON- Entry/Exit Connection" u="1"/>
        <s v="Se-NCC-ISS Hardware Refresh - Draw Down" u="1"/>
        <s v="Se-LOCATION 9001-Metering-N/A-Replacement" u="1"/>
        <s v="Se-Barton Stacey-Input Device-GSMR Analyser Barton Stacey West-Replacement" u="1"/>
        <s v="Se-Gravesend-Input Device-GSMR Analyser Gravesend-Stream 1-Replacement" u="1"/>
        <s v="Se-Lupton Multijuction-Input Device-GSMR Analyser Lupton Multijunction (North)- Stream 1-Replacement" u="1"/>
        <s v="Se - MEDWAY POWER - Input Devices-Local Gas Treatment-Replacement" u="1"/>
        <s v="Se-LOCATION 9001-Input Device-GSMR Analyser LOCATION 9001 F10-Replacement" u="1"/>
        <s v="Se-Wooler-Input Devices-CV Monitor-Replacement" u="1"/>
        <s v="Se - Cambridge - Uninteruptable Power Supply - Replacement - ISS" u="1"/>
        <s v="Se - Chalgrove Multi-Junction - Uninteruptable Power Supply - Replacement - ISS" u="1"/>
        <s v="Se - Churchover Tee - Uninteruptable Power Supply - Replacement - ISS" u="1"/>
        <s v="Se - East Iisley AGI - Uninteruptable Power Supply - Replacement - ISS" u="1"/>
        <s v="Se - Hatton Compressor Station - Uninteruptable Power Supply - Replacement - ISS" u="1"/>
        <s v="Se - Kenn South - Uninteruptable Power Supply - Replacement - ISS" u="1"/>
        <s v="Se - Ottery St. Mary - Uninteruptable Power Supply - Replacement - ISS" u="1"/>
        <s v="Se - Treaddow - Uninteruptable Power Supply - Replacement - ISS" u="1"/>
        <s v="Se - Alrewas - ISS Hardware - Refresh" u="1"/>
        <s v="Se - CHALGROVE - ISS Technical - Refresh" u="1"/>
        <s v="Se - Audley - ISS Hardware - Refresh" u="1"/>
        <s v="Se - EAST ILSLEY - ISS Technical - Refresh" u="1"/>
        <s v="Se - Chelmsford - ISS Hardware - Refresh" u="1"/>
        <s v="Se - AYLESBURY COMPRESSOR STATION - ISS Technical - Refresh" u="1"/>
        <s v="Se - Diss - ISS Hardware - Refresh" u="1"/>
        <s v="Se - ABERDEEN COMPRESSOR STATION - ISS Technical - Refresh" u="1"/>
        <s v="Se - Gravesend - ISS Hardware - Refresh" u="1"/>
        <s v="Se - CAMBRIDGE COMPRESSOR STATION - ISS Technical - Refresh" u="1"/>
        <s v="Se - HATTON COMPRESSOR STATION - ISS Technical - Refresh" u="1"/>
        <s v="Se - Newbold Pacey - ISS Hardware - Refresh" u="1"/>
        <s v="Se - CHURCHOVER MULTIJUNCTION - ISS Technical - Refresh" u="1"/>
        <s v="Se - CHURCHOVER COMPRESSOR STATION - ISS Technical - Refresh" u="1"/>
        <s v="Se - Tilbury - ISS Hardware - Refresh" u="1"/>
        <s v="Se - Carnforth - ISS Technical - Refresh" u="1"/>
        <s v="Se - Wormington - ISS Technical - Refresh" u="1"/>
        <s v="Se - Peterborough - ISS Technical - Refresh" u="1"/>
        <s v="Se-Huntingdon-Control System-Unit C-Replacement" u="1"/>
        <s v="Se-Cambridge-Control System-Unit A-Replacement" u="1"/>
        <s v="Se-Cambridge-Control System-Unit B-Replacement" u="1"/>
        <s v="Se - Teesside - ISS New Solution - T2" u="1"/>
        <s v="Se - Billericay - ISS New Solution" u="1"/>
        <s v="Se - Dolphinholme - ISS New Solution" u="1"/>
        <s v="Se - Gestingthorpe - ISS New Solution" u="1"/>
        <s v="Se - Highclere - ISS New Solution" u="1"/>
        <s v="Se-Billingham ICI-Control Logic Units-Site Telemetry-Replacement" u="1"/>
        <s v="Se-Elworth-Control Logic Units-Site Telemetry-Replacement" u="1"/>
        <s v="Se-Holford-Control Logic Units-Site Telemetry-Replacement" u="1"/>
        <s v="Se-Little Barford-Control Logic Units-Site Telemetry-Replacement" u="1"/>
        <s v="Se-Otterly St Mary-Telemetry and Kiosk  Replacement" u="1"/>
        <s v="Se-Sproatly-Control Logic Units-Site Telemetry-Replacement" u="1"/>
        <s v="Se-Stapleford Tawny Junction-Control Logic Units-Site Telemetry-Replacement" u="1"/>
        <s v="Se-East Ilsey-Control Logic Units-Site Telemetry-Replacement" u="1"/>
        <s v="Se-Kings Lynn Power Station-Control Logic Units-Site Telemetry-Replacement" u="1"/>
        <s v="Se-Sutton Bridge-Control Logic Units-Site Telemetry-Replacement" u="1"/>
        <s v="Se-Blaby-Control Logic Units-Site Telemetry-Replacement" u="1"/>
        <s v="Se-Sellafield-Control Logic Units-Site Telemetry-Replacement" u="1"/>
        <s v="Se- Wooler-Input Device-FCV Metering-Replacement(1)" u="1"/>
        <s v="Se-Carnforth-Input Device-FCV Metering-Replacement" u="1"/>
        <s v="Se - Location - CHIGNALL ST. JAMES - ISS New Solution" u="1"/>
        <s v="Se- AVONBRIDGE COMPRESSOR STATION-Control System-Station-Replacement (T2 Rollover)" u="1"/>
        <s v="Se- DISS COMPRESSOR STATION-Control System-Station-Replacement (T2 Rollover)" u="1"/>
        <s v="Se- DISS COMPRESSOR STATION-Control System-Unit A-Replacement (T2 Rollover)" u="1"/>
        <s v="Se- DISS COMPRESSOR STATION-Control System-Unit B-Replacement (T2 Rollover)" u="1"/>
        <s v="Se- DISS COMPRESSOR STATION-Control System-Unit C-Replacement (T2 Rollover)" u="1"/>
        <s v="Se- HATTON COMPRESSOR STATION-Control System-Station-Replacement (T2 Rollover)" u="1"/>
        <s v="Se- WORMINGTON COMPRESSOR STATION-Control System-Unit C-Replacement (T2 Rollover)" u="1"/>
        <s v="Se-LOWER QUINTON -Control Logic Units-Site Telemetry-Replacement" u="1"/>
        <s v="Se-THRINTOFT -Control Logic Units-Site Telemetry-Replacement" u="1"/>
        <s v="Se - Eastoft Multi-junction - ISS New Solution" u="1"/>
        <s v="Se - Location - HEAPEY DAM - ISS New Solution - T4" u="1"/>
        <s v="Se- KIRRIEMUIR COMPRESSOR STATION-Control System- Unit B-Replacement (T2 Rollover)" u="1"/>
        <s v="Se- ALREWAS COMPRESSOR STATION-Control System-Unit B-Replacement (T2 Rollover)" u="1"/>
        <s v="Se- LOCATION 9001 TERMINAL-Control System-Unit 2B-Replacement (T2 Rollover)" u="1"/>
        <s v="Se- NETHER KELLET COMPRESSOR STATION-Control System-Unit B-Replacement" u="1"/>
        <s v="Se- CARNFORTH COMPRESSOR STATION-Control System-Station-Replacement" u="1"/>
        <s v="Se- CHURCHOVER COMPRESSOR STATION-Control System-Station-Replacement" u="1"/>
        <s v="Se- CHURCHOVER COMPRESSOR STATION-Control System-Unit D-Replacement" u="1"/>
        <s v="Se- LOCATION 09999 TERMINAL- Fire &amp; Gas Control System-Replacement" u="1"/>
        <s v="Se- Wooler-Input Device-FCV Metering-Replacement(2)" u="1"/>
        <s v="Se12 - KINGS LYNN COMPRESSOR STATION-Input Devices-Station-Replacement" u="1"/>
        <s v="Se- RYE HOUSE POWER STATION-Input Devices-N/A-Replacement" u="1"/>
        <s v="Se- BILLINGHAM ICI-Input Devices-N/A-Replacement" u="1"/>
        <s v="Se-Balhalgardy-Control Logic Units-N/A-Replacement" u="1"/>
        <s v="Se-Cottam-Control Logic Units-N/A-Replacement" u="1"/>
        <s v="Se-Milwich-Control Logic Units-N/A-Replacement" u="1"/>
        <s v="Se-Aspley-Control Logic Units-N/A-Replacement" u="1"/>
        <s v="Se-Carnforth-Input Devices-CV Monitor -Replacement" u="1"/>
        <s v="Se-Peterborough Tee-Control Logic Units-N/A-Replacement" u="1"/>
        <s v="Se-Lutton-Control Logic Units-N/A-Replacement" u="1"/>
        <s v="Se-Beeford-Control Logic Units-N/A-Replacement" u="1"/>
        <s v="Se-Wheelock-Control Logic Units-N/A-Replacement" u="1"/>
        <s v="Se-Cilfrew-Control Logic Units-N/A-Replacement" u="1"/>
        <s v="Se-Lockerley-Station-Control System Replacement" u="1"/>
        <s v="Se-Ottery St Mary-Control Logic Units-N/A-Replacement" u="1"/>
        <s v="Se-Ilchester-Control Logic Units-N/A-Replacement" u="1"/>
        <s v="Se-ICI Billingham-Control Logic Units-N/A-Replacement" u="1"/>
        <s v="Se-East Isley-Control Logic Units-N/A-Replacement" u="1"/>
        <s v="Se-Kings Lynn Multijuction-Control Logic Units-N/A-Replacement" u="1"/>
        <s v="Se-Wragg Marsh-Control Logic Units-N/A-Replacement" u="1"/>
        <s v="Se-Gowkhall-Control Logic Units-N/A-Replacement" u="1"/>
        <s v="Se-Whitwell-Control Logic Units-N/A-Replacement" u="1"/>
        <s v="Se-Llanvetherine-Control Logic Units-N/A-Replacement" u="1"/>
        <s v="Se-Moffat-Control Logic Units-N/A-Replacement" u="1"/>
        <s v="Se- REGION 004 and North - Control Logic Units-Site Telemetry-Replacement - Draw Down" u="1"/>
        <s v="Se- West -Control Logic Units - Site Telemetry-Replacement - Draw Down" u="1"/>
        <s v="Se- OT-P18 Gas Quality IoT - Draw Down" u="1"/>
        <s v="Se-HATTON COMPRESSOR STATION-OSS Installation-Se-77" u="1"/>
        <s v="Se-FELINDRE COMPRESSOR STATION-OSS Installation-Se-77" u="1"/>
        <s v="Se-BISHOP AUCKLAND COMPRESSOR STATION-OSS Installation-Se-77" u="1"/>
        <s v="Se-AVONBRIDGE COMPRESSOR STATION-OSS Installation-Se-77" u="1"/>
        <s v="Se- WEST - OSS Platform Development-Se-78 - Draw Down" u="1"/>
        <s v="Se-AVONBRIDGE COMPRESSOR STATION-OT Asset Decommissioning-Se-74" u="1"/>
        <s v="Se-WOOLER COMPRESSOR STATION-OT Asset Decommissioning-Se-74" u="1"/>
        <s v="Se-ALREWAS COMPRESSOR STATION-OT Asset Decommissioning-Se-74" u="1"/>
        <s v="Se-CHURCHOVER COMPRESSOR STATION-OT Asset Decommissioning-Se-74" u="1"/>
        <s v="Se-AYLESBURY COMPRESSOR STATION-OT Asset Decommissioning-Se-74" u="1"/>
        <s v="Se-LOCKERLEY COMPRESSOR STATION-OT Asset Decommissioning-Se-74" u="1"/>
        <s v="Se - THREE COCKS - ISS New Solution Closeout" u="1"/>
        <s v="Se - STUBLACH - ISS New Solution Closeout" u="1"/>
        <s v="Se-Drax-Control Logic Units-Site Telemetry-Replacement" u="1"/>
        <s v="Se-Wormington-Control Logic Units-Site Telemetry-Replacement" u="1"/>
        <s v="Se-Burnhervie-Control Logic Units-Site Telemetry-Replacement" u="1"/>
        <s v="Se-Roxwell-Control Logic Units-Site Telemetry-Replacement" u="1"/>
        <s v="Se-Aberdeen-Control System-Unit C-Replacement" u="1"/>
        <s v="Se - WEST - ISS New Solution Survey - Se-54 - Draw Down" u="1"/>
        <s v="Se - WEST - Block Valve - ISS Block Valve Removal - Se-35 - Draw Down" u="1"/>
        <s v="Se - EAST - ISS New Solution Survey - Se-54 - Draw Down" u="1"/>
        <s v="Se - NORTH - Block Valve - ISS Block Valve Removal - Se-35 - Draw Down" u="1"/>
        <s v="Si-NT4359-HEAPEY DAM-Temporary Fencing-Se-66" u="1"/>
        <s v="Si-NT5122-TEESSIDE BOC-Temporary Fencing-Se-66" u="1"/>
        <s v="Si-NT1616-ALDBROUGH-Temporary Fencing-Se-66" u="1"/>
        <s v="Si-NT1517-MORNINGTHORPE-Temporary Fencing-Se-66" u="1"/>
        <s v="Si-NT1331-ROYSTON-Temporary Fencing-Se-66" u="1"/>
        <s v="Si-NT1521-STOWMARKET-Temporary Fencing-Se-66" u="1"/>
        <s v="Si-WEST-Site #25-Temporary Fencing-Se-66 - Draw Down" u="1"/>
        <s v="Si-NORTH-Site #26-Temporary Fencing-Se-66 - Draw Down" u="1"/>
        <s v="Si-EAST-Site #36-Temporary Fencing-Se-66 - Draw Down" u="1"/>
        <s v="Si-WEST-Site #41-Temporary Fencing-Se-66 - Draw Down" u="1"/>
        <s v="Si-EAST-Site #42-Temporary Fencing-Se-66 - Draw Down" u="1"/>
        <s v="Si-WEST-Site #43-Temporary Fencing-Se-66 - Draw Down" u="1"/>
        <s v="Si-EAST-Site #46-Temporary Fencing-Se-66 - Draw Down" u="1"/>
        <s v="SE-ALDBROUGH-Physical Security for OT-Se-70" u="1"/>
        <s v="SE-SILK WILLOUGHBY-Physical Security for OT-Se-70" u="1"/>
        <s v="SE-SPROATLEY-Physical Security for OT-Se-70" u="1"/>
        <s v="SE-BLACKBRIDGE-Physical Security for OT-Se-70" u="1"/>
        <s v="SE-DIDCOT POWER STATION-Physical Security for OT-Se-70" u="1"/>
        <s v="SE-HORNDON 'A'-Physical Security for OT-Se-70" u="1"/>
        <s v="SE-LITTLE BARFORD POWER STATION-Physical Security for OT-Se-70" u="1"/>
        <s v="SE-PANNAL-Physical Security for OT-Se-70" u="1"/>
        <s v="SE-PETERBOROUGH POWER STATION-Physical Security for OT-Se-70" u="1"/>
        <s v="SE-ROSEHILL-Physical Security for OT-Se-70" u="1"/>
        <s v="SE-SEABANK II-Physical Security for OT-Se-70" u="1"/>
        <s v="SE-ST. NEOTS-Physical Security for OT-Se-70" u="1"/>
        <s v="SE-WARBURTON-Physical Security for OT-Se-70" u="1"/>
        <s v="SE-WISBECH COMPRESSOR STATION-Physical Security for OT-Se-70" u="1"/>
        <s v="SE-WORMINGTON-Physical Security for OT-Se-70" u="1"/>
        <s v="SE-KINGS LYNN COMP. TEE-Physical Security for OT-Se-70" u="1"/>
        <s v="SE-CORBY POWER STATION-Physical Security for OT-Se-70" u="1"/>
        <s v="SE-KINGS LYNN POWER STATION-Physical Security for OT-Se-70" u="1"/>
        <s v="SE-SUTTON BRIDGE PS-Physical Security for OT-Se-70" u="1"/>
        <s v="SE-MAWDESLEY-Physical Security for OT - Access Control-Se-71" u="1"/>
        <s v="SE-CENTRAX OT-Physical Security for OT - Access Control-Se-71" u="1"/>
        <s v="Se-LOCATION 09999-Cyber Gas Quality MQTT  - REGION 004 and North - Draw Down" u="1"/>
        <s v="Se-LOCATION 09999-Cyber Gas Quality MQTT  - West  - Draw Down" u="1"/>
        <s v="Se - LOCATION 09999 - Cyber Metering MQTT Compressor Fuel Gas Sites - West - Draw Down" u="1"/>
        <s v="Se-Hatton-Control Logic Units-Site Telemetry-Replacement" u="1"/>
        <s v="Se- EAST -Control Logic Units-Site Telemetry-Replacement - Draw Down" u="1"/>
        <s v="Se - Llanwrda - ISS New Solution Closeout" u="1"/>
        <s v="Se- West -Control Logic Unit s- Control Logic Units-Site Telemetry-Replacement - Se-7 - Draw Down" u="1"/>
        <s v="Se-Cyber Boiler Metering Upgrades - West - Se- 17 - Draw Down" u="1"/>
        <s v="Se - STUBLACH - ISS New Solution" u="1"/>
        <s v="Se - LLANWRDA - ISS New Solution" u="1"/>
        <s v="Se-TEESSIDE-Input Device-GSMR Analyser-Stream 2-Replacement" u="1"/>
        <s v="Se-TEESSIDE-Input Device-GSMR Analyser-Stream 3-Replacement" u="1"/>
        <s v="SE - WEST - Physical Security for OT - Se-70" u="1"/>
        <s v="Se - WEST - Cyber Minor Controls - Draw Down" u="1"/>
        <s v="Si - EAST - EOL Satellites - Se-68 - Draw Down" u="1"/>
        <s v="Si - WEST - EOL Satellites - Se-68 - Draw Down" u="1"/>
        <s v="Si - NORTH - EOL Satellites - Se-68 - Draw Down" u="1"/>
        <s v="Se - EAST - OSS RTB - Se-79 - Draw Down" u="1"/>
        <s v="Se - Cyber Boiler Metering Upgrades - North - Se-17 - Draw Down" u="1"/>
        <s v="Se - NORTH - Physical Security for OT - Se-70" u="1"/>
        <s v="Se - EAST - Cyber Metering Compressor Fuel Gas - Draw Down" u="1"/>
        <s v="Se - WEST - Cyber Metering Compressor Fuel Gas - Draw Down" u="1"/>
        <s v="Se - EAST - Cyber Metering Compressor Station - Draw Down" u="1"/>
        <s v="Se - NORTH - Cyber Metering Compressor Station - Draw Down" u="1"/>
        <s v="Se - NORTH - Cyber Metering Flow Control Valve - Draw Down" u="1"/>
        <s v="Se - EAST - Cyber Analysers - Local Gas Treatment - Draw Down" u="1"/>
        <s v="Se - NORTH - ISS Hardware Asset Refresh - Compressor Site - Draw Down" u="1"/>
        <s v="Se - WEST - ISS Hardware Asset Refresh - AGI Site - Draw Down" u="1"/>
        <s v="Se - EAST - ISS Technical Asset Refresh - AGI Site - Draw Down" u="1"/>
        <s v="Se - WEST - ISS Technical Asset Refresh - AGI Site - Draw Down" u="1"/>
        <s v="Se - NORTH - ISS Technical Asset Refresh - Compressor Site - Draw Down" u="1"/>
        <s v="Se - EAST - Cyber Metering Supply Point Metering - Draw Down" u="1"/>
        <s v="Se - WEST - Cyber Metering Supply Point Metering - Draw Down" u="1"/>
        <s v="Se - WEST - Cyber Metering - ISA:62443 Compliance - Draw Down" u="1"/>
        <s v="Se - EAST - Cyber Analysers Cv Monitoring Replacement - Draw Down" u="1"/>
        <s v="Se - WEST - Cyber Analysers Cv Monitoring Replacement - Draw Down" u="1"/>
        <s v="Se - NORTH - Physical Security for OT - Access Control - Draw Down" u="1"/>
        <s v="Se - NORTH - OT Asset Decommissioning - Draw Down" u="1"/>
        <s v="Se - EAST - OSS Installation - Draw Down" u="1"/>
        <s v="Se - WEST - OSS Installation - Draw Down" u="1"/>
        <s v="Se - EAST - Cyber Telemetry ROV - Draw Down" u="1"/>
        <s v="Se - NORTH - Cyber Telemetry ROV - Draw Down" u="1"/>
        <s v="Se - WEST - Cyber Telemetry ROV - Draw Down" u="1"/>
        <s v="Se - NORTH - Replace DC UPS (Small) - AGIs - Draw Down" u="1"/>
        <s v="Se - WEST - Replace DC UPS (Small) - AGIs - Draw Down" u="1"/>
        <s v="Se - WEST - Replace Batteries (VRLA) (Small) - Draw Down" u="1"/>
        <s v="Si - ABERDEEN COMPRESSOR STATION - EOL Satellites - Se-68" u="1"/>
        <s v="Si - BISHOP AUCKLAND COMPRESSOR STATION - EOL Satellites - Se-68" u="1"/>
        <s v="Si - CRIEFF - EOL Satellites - Se-68" u="1"/>
        <s v="Si - ELVANFOOT - EOL Satellites - Se-68" u="1"/>
        <s v="Si - MOFFAT COMPRESSOR STATION - EOL Satellites - Se-68" u="1"/>
        <s v="Si - AVONBRIDGE COMPRESSOR STATION - CCTV Network refresh - Se-69" u="1"/>
        <s v="Si - KIRRIEMUIR COMPRESSOR STATION - CCTV Network refresh - Se-69" u="1"/>
        <s v="Si - LOCATION 9001 TERMINAL - CCTV Network refresh - Se-69" u="1"/>
        <s v="Si - BARTON STACEY - EOL Satellites - Se-68" u="1"/>
        <s v="Si - CHALGROVE - EOL Satellites - Se-68" u="1"/>
        <s v="Si - CHURCHOVER MULTIJUNCTION - EOL Satellites - Se-68" u="1"/>
        <s v="Si - KENN SOUTH - EOL Satellites - Se-68" u="1"/>
        <s v="Si - NEWBOLD PACEY - EOL Satellites - Se-68" u="1"/>
        <s v="Si - NEWTON NOYES - EOL Satellites - Se-68" u="1"/>
        <s v="Si - TREALES - EOL Satellites - Se-68" u="1"/>
        <s v="Si - CAMBRIDGE COMPRESSOR STATION - EOL Satellites - Se-68" u="1"/>
        <s v="Si - DISS COMPRESSOR STATION - EOL Satellites - Se-68" u="1"/>
        <s v="Si - GOXHILL - EOL Satellites - Se-68" u="1"/>
        <s v="Si - HATTON COMPRESSOR STATION - EOL Satellites - Se-68" u="1"/>
        <s v="Si - KINGS LYNN COMPRESSOR STATION - EOL Satellites - Se-68" u="1"/>
        <s v="Si - PAULL MULTIJUNCTION - EOL Satellites - Se-68" u="1"/>
        <s v="Si - WISBECH COMPRESSOR STATION - EOL Satellites - Se-68" u="1"/>
        <s v="Si - ROXWELL - EOL Satellites - Se-68" u="1"/>
        <s v="Si - SHORNE - EOL Satellites - Se-68" u="1"/>
        <s v="Si - CAMBRIDGE COMPRESSOR STATION - CCTV Network refresh - Se-69" u="1"/>
        <s v="Si - DISS COMPRESSOR STATION - CCTV Network refresh - Se-69" u="1"/>
        <s v="Si - GRAVESEND THAMES SOUTH - CCTV Network refresh - Se-69" u="1"/>
        <s v="Si - HATTON COMPRESSOR STATION - CCTV Network refresh - Se-69" u="1"/>
        <s v="Si - HUNTINGDON - CCTV Network refresh - Se-69" u="1"/>
        <s v="Si - ROXWELL - CCTV Network refresh - Se-69" u="1"/>
        <s v="Si - BARTON STACEY - CCTV Network refresh - Se-69" u="1"/>
        <s v="Si - EAST ILSLEY - CCTV Network refresh - Se-69" u="1"/>
        <s v="Si - FELINDRE COMPRESSOR STATION - CCTV Network refresh - Se-69" u="1"/>
        <s v="Si - HONEYBOURNE - CCTV Network refresh - Se-69" u="1"/>
        <s v="Si - LOCKERLEY COMPRESSOR STATION - CCTV Network refresh - Se-69" u="1"/>
        <s v="Si - NEWTON NOYES - CCTV Network refresh - Se-69" u="1"/>
        <s v="Si - WARRINGTON COMPRESSOR STATION - CCTV Network refresh - Se-74" u="1"/>
        <s v="Si - AYLESBURY COMPRESSOR STATION - EOL Satellites - Se-68" u="1"/>
        <s v="Se - WHITWELL - Control Logic Units - Site Telemetry - Replacement" u="1"/>
        <s v="Se - HATTON - Input Device - FCV Metering-Replacement" u="1"/>
        <s v="Si - OTTERY ST. MARY - EOL Satellites" u="1"/>
        <s v="Si - OTTERY ST. MARY -  CCTV Network refresh" u="1"/>
        <s v="Se - LOCATION 09999 - ISS New Solution Survey - Se-54" u="1"/>
        <s v="Se-BISHOP COMPRESSOR STATION-Input Device-Station-Replacement(1)" u="1"/>
        <s v="Se-DISS COMPRESSOR STATION-Input Device-Station-Replacement(1)" u="1"/>
        <s v="Se-LONGTOWN-Input Device-FCV Metering-Replacement(3)" u="1"/>
        <s v="Se-TREADDOW-Input Device-FCV Metering-Replacement(1)" u="1"/>
        <s v="Se-TREADDOW-Input Device-FCV Metering-Replacement(2)" u="1"/>
        <s v="Se- STALLINGBOROUGH-Supply Point Metering-Replacement(2)" u="1"/>
        <s v="Se- LITTLE BARFORD POWER STATION- Supply Point Metering-Replacement (2)" u="1"/>
        <s v="Se-CORBY POWER STATION-Station-Supply Point Metering-Replacement (1)" u="1"/>
        <s v="Se- Burton Point-Station-Supply Point Metering-Replacement(2)" u="1"/>
        <s v="Si - EAST - Temp CCTV - Se-67 - Draw Down" u="1"/>
        <s v="Si - WEST - Temp CCTV - Se-67 - Draw Down" u="1"/>
        <s v="Brigg Disconnection" u="1"/>
        <s v="T2_Decommissioning_2023_DECOM_23" u="1"/>
        <s v="T2_ISS_Phase 3 Lot 1" u="1"/>
        <s v="T2_Cabs_2022-2023" u="1"/>
        <s v="T2_NARC_2021_RIIO2 Major Preheat" u="1"/>
        <s v="T2_Emissions_2021_LOCATION 9001 Future Operating Strategy" u="1"/>
        <s v="T2_Emissions_2021_Avon DLE Development" u="1"/>
        <s v="T2_Customer_Baglan Bay (Tonna AGI) Disconnection" u="1"/>
        <s v="T2_NARC_23_MWC" u="1"/>
        <s v="T2_Control System Metering 2023" u="1"/>
        <s v="T2_NARC_2021_RIIO2 Recompression Units" u="1"/>
        <s v="Burton Point Entry Flow Reduction, Meter Change" u="1"/>
        <s v="Peterborough Compressor Station IPPC Phase 3 Emissions Reduction" u="1"/>
        <s v="Earthing and Lightning Protection Remedial Works at GTAM Compressors and Entry Points" u="1"/>
        <s v="Slimline 1U Condition Monitoring Card Fleet Installation" u="1"/>
        <s v="Kings Lynn Replant 2" u="1"/>
        <s v="Brigg PS - A2O Mod" u="1"/>
        <s v="LOCATION 9001 Terminal Isolation 5, Cathodic Protection and Electrical Actuation" u="1"/>
        <s v="HS2 Phase 2A, Diversions of Feeders 4 and 21, 2023 and 2024 delivery" u="1"/>
        <s v="Scottish Power Longannet Disconnection at Gowkhall AGI FDS" u="1"/>
        <s v="Keadby 2 New MOC" u="1"/>
        <s v="ISS Phase 2 Programme" u="1"/>
        <s v="Bulk Area Form 2019-2020" u="1"/>
        <s v="Western Gas Network Upgrade (WGNU) Planning and Advanced Reservation of Capacity Agreement" u="1"/>
        <s v="West Winch Bypass Fdrs 2 and 4 LOCATION 09999 to Kings Lynn" u="1"/>
        <s v="Theddlethorpe Terminal AGI Minimum Entry Connection" u="1"/>
        <s v="P - Feeder 02 - SW02WOTR - WORMINGTON TO TREADDOW-Birdstow Wye Decontaminate and Grout Fill" u="1"/>
        <s v="P - Feeder 04 - EA04BAWI - LOCATION 09999-WISBECH - AC Protection Project" u="1"/>
        <s v="P - Feeder 04 - EM04BLAL - BLABY-ALREWAS - AC Protection Project" u="1"/>
        <s v="P - Feeder 18 - SE18ISGR - ISLE OF GRAIN-GRAVESEND - AC Protection Project" u="1"/>
        <s v="P - Feeder 14 - SW14PUSE - PUCKLECHURCH-SEABANK - AC Protection Project" u="1"/>
        <s v="P - Feeder 14 - WM14CHAL - ALREWAS-CHURCHOVER - AC interference PIG tool- to be added to PSSR ILI run - FY27" u="1"/>
        <s v="P - Feeder 18 - EA18PEHU - PETERBOROUGH-HUNTINGDON - AC interference PIG tool- to be added to PSSR ILI run - FY27" u="1"/>
        <s v="P - Feeder 05 - EA05ROLU - ROXWELL-ABRIDGE-LUXBOROUGH - AC interference PIG tool- to be added to PSSR ILI run - FY30" u="1"/>
        <s v="P - Feeder 02 - EA02BAWI - LOCATION 09999-WISBECH NENE WEST - Cathodic Protection - AC Mitigation Survey and design" u="1"/>
        <s v="P - Feeder 28 - WA28FECI - FELINDRE-CILFREW - Cathodic Protection - AC Mitigation Survey and design" u="1"/>
        <s v="P - Feeder 28 - WA28FETH - FELINDRE-THREE COCKS - Cathodic Protection - AC Mitigation Survey and design" u="1"/>
        <s v="P - Feeder 28 - WA28HEFE - HERBRANDSTON-FELINDRE - Cathodic Protection - AC Mitigation Survey and design" u="1"/>
        <s v="P - Feeder 04 - NW04HESH - HELSBY-SHELLSTAR - Cathodic Protection - AC Mitigation Survey and design" u="1"/>
        <s v="P - Feeder 15 - NW15LUBR - LUPTON-BRETHERTON - Cathodic Protection - AC Mitigation Survey and design" u="1"/>
        <s v="P - Feeder 21 - NW21MIDE - MICKLE TRAFFORD-DEESIDE - Cathodic Protection - AC Mitigation Survey and design" u="1"/>
        <s v="P - Feeder 04 - NW04SHWE - SHOCKLACH-WESTON PT - Cathodic Protection - AC Mitigation Survey and design" u="1"/>
        <s v="P - Feeder 11 - KIBA11 - Legacy Defect - Watercourse crossings (defect resolution)- 5542222 defect num" u="1"/>
        <s v="P - Feeder 04 - SHWE04 - Legacy Defect - Watercourse crossings (defect resolution)- 1931005 defect num" u="1"/>
        <s v="P - Feeder 14 - CHWO14 - Legacy Defect - Watercourse crossings (defect resolution)- 1541774 defect num" u="1"/>
        <s v="P - Feeder 14 - CHAL14 - Legacy Defect - Watercourse crossings (defect resolution)- 1069280 defect num" u="1"/>
        <s v="P - Feeder 04 - AUAL04 - Legacy Defect - Watercourse crossings (defect resolution)- 1074757 defect num" u="1"/>
        <s v="P - Feeder 04 - WAAU04 - Legacy Defect - Watercourse crossings (defect resolution)- 997502 defect num" u="1"/>
        <s v="P - Feeder 04 - AUAL04 - Legacy Defect - Depth of cover (Mitigations of defects)- 6204664 defect num" u="1"/>
        <s v="P - Feeder 05 - BAYE05 - Legacy Defect - Depth of cover (Mitigations of defects)- 18211 defect num" u="1"/>
        <s v="P - Feeder 05 - BAYE05 - Legacy Defect - Depth of cover (Mitigations of defects)- 18214 defect num" u="1"/>
        <s v="P - Feeder 07 - CASU07 - Legacy Defect - Depth of cover (Mitigations of defects)- 7638 defect num" u="1"/>
        <s v="P - Feeder 11 - KIBA11 - Legacy Defect - Nitrogen Sleeve Minor Remediation - 6088124" u="1"/>
        <s v="P - Feeder 13 - ABAR13 - Legacy Defect - Nitrogen Sleeve Minor Remediation - 6088118" u="1"/>
        <s v="P - Feeder 11 - GRSA11 - Legacy Defect - Nitrogen Sleeve Minor Remediation - 38576" u="1"/>
        <s v="P - Feeder 02 - TRDO02 - Legacy Defect - Nitrogen Sleeve Minor Remediation - 7425" u="1"/>
        <s v="P - Feeder 02 - WOTR02 - Legacy Defect - Nitrogen Sleeve Minor Remediation - 7439" u="1"/>
        <s v="P - Feeder 02 - TRDO02 - Legacy Defect - Nitrogen Sleeve Minor Remediation - 22222" u="1"/>
        <s v="P - Feeder 07 - CHBA07 - Legacy Defect - Nitrogen Sleeve Minor Remediation - 22125" u="1"/>
        <s v="P - Feeder 14 - AUSH14 - Legacy Defect - Nitrogen Sleeve Minor Remediation - 11411" u="1"/>
        <s v="P - Feeder 14 - AUSH14 - Legacy Defect - Nitrogen Sleeve Minor Remediation - 11413" u="1"/>
        <s v="P - Feeder 14 - AUSH14 - Legacy Defect - Nitrogen Sleeve Minor Remediation - 11416" u="1"/>
        <s v="P - Feeder 05 - GRTA05 - Legacy Defect - Nitrogen Sleeve Minor Remediation - 11443" u="1"/>
        <s v="P - Feeder 07 - BAMA07 - Legacy Defect - Nitrogen Sleeve Minor Remediation - 13498" u="1"/>
        <s v="P - Feeder 07 - CHBA07 - Legacy Defect - Nitrogen Sleeve Minor Remediation - 13573" u="1"/>
        <s v="P - Feeder 07 - CHBA07 - Legacy Defect - Nitrogen Sleeve Minor Remediation - 22122" u="1"/>
        <s v="P - Feeder 07 - CHBA07 - Legacy Defect - Nitrogen Sleeve Minor Remediation - 17054" u="1"/>
        <s v="P - Feeder 07 - CHBA07 - Legacy Defect - Nitrogen Sleeve Minor Remediation - 13571" u="1"/>
        <s v="P - Feeder 07 - OLCH07 - Legacy Defect - Nitrogen Sleeve Minor Remediation - 11406" u="1"/>
        <s v="P - Feeder 11 - GRSA11 - Legacy Defect - Nitrogen Sleeve Minor Remediation - 11371" u="1"/>
        <s v="P - Feeder 07 - CHBA07 - Legacy Defect - Nitrogen Sleeve Minor Remediation - 16988" u="1"/>
        <s v="P - Feeder 07 - CHBA07 - Legacy Defect - Nitrogen Sleeve Minor Remediation - 13548" u="1"/>
        <s v="P - Feeder 02 - TRDO02 - Legacy Defect - Nitrogen Sleeve Minor Remediation - 11364" u="1"/>
        <s v="P - Feeder 07 - CHBA07 - Legacy Defect - Nitrogen Sleeve Minor Remediation - 7460" u="1"/>
        <s v="P - Feeder 07 - OLCH07 - Legacy Defect - Nitrogen Sleeve Minor Remediation - 7416" u="1"/>
        <s v="P - Feeder 03 - WHPE03 - Legacy Defect - Nitrogen Sleeve Minor Remediation - 7424" u="1"/>
        <s v="P - Feeder 02 - TRDO02 - Legacy Defect - Nitrogen Sleeve Minor Remediation - 7426" u="1"/>
        <s v="P - Feeder 07 - CHBA07 - Legacy Defect - Nitrogen Sleeve Minor Remediation - 7473" u="1"/>
        <s v="P - Feeder 07 - CHBA07 - Legacy Defect - Nitrogen Sleeve Minor Remediation - 7492" u="1"/>
        <s v="P - Feeder 10 - STAB10 - Legacy Defect - Nitrogen Sleeve Minor Remediation - 7523" u="1"/>
        <s v="P - Feeder 07 - TYOL07 - Legacy Defect - Nitrogen Sleeve Minor Remediation - 7371" u="1"/>
        <s v="P - Feeder 02 - DODY02 - Legacy Defect - Nitrogen Sleeve Minor Remediation - 7375" u="1"/>
        <s v="P - Feeder 07 - BAMA07 - Legacy Defect - Nitrogen Sleeve Minor Remediation - 7282" u="1"/>
        <s v="P - Feeder 07 - BAMA07 - Legacy Defect - Nitrogen Sleeve Minor Remediation - 7287" u="1"/>
        <s v="P - Feeder 07 - BAMA07 - Legacy Defect - Nitrogen Sleeve Minor Remediation - 7304" u="1"/>
        <s v="P - Feeder 07 - CASU07 - Legacy Defect - Nitrogen Sleeve Minor Remediation - 7307" u="1"/>
        <s v="P - Feeder 07 - TYOL07 - Legacy Defect - Nitrogen Sleeve Minor Remediation - 7363" u="1"/>
        <s v="P - Feeder 07 - TYOL07 - Legacy Defect - Nitrogen Sleeve Minor Remediation - 7345" u="1"/>
        <s v="P - Feeder 07 - BAMA07 - Legacy Defect - Nitrogen Sleeve Minor Remediation - 7278" u="1"/>
        <s v="P - Feeder 07 - TYOL07 - Legacy Defect - Nitrogen Sleeve Minor Remediation - 7369" u="1"/>
        <s v="P - Feeder 07 - TYOL07 - Legacy Defect - Nitrogen Sleeve Minor Remediation - 7368" u="1"/>
        <s v="P - Feeder 07 - TYOL07 - Legacy Defect - Nitrogen Sleeve Minor Remediation - 7338" u="1"/>
        <s v="P - Feeder 07 - TYOL07 - Legacy Defect - Nitrogen Sleeve Minor Remediation - 7360" u="1"/>
        <s v="P - Feeder 10 - STAB10 - Legacy Defect - Nitrogen Sleeve Minor Remediation - 7521" u="1"/>
        <s v="P - Feeder 12 - STAB12 - Legacy Defect - Nitrogen Sleeve Minor Remediation - 7553" u="1"/>
        <s v="P - Feeder 11 - STAB11 - Legacy Defect - Nitrogen Sleeve Minor Remediation - 7541" u="1"/>
        <s v="P - Feeder 02 - WOTR02 - Legacy Defect - Nitrogen Sleeve Minor Remediation - 7442" u="1"/>
        <s v="P - Feeder 07 - CHBA07 - Legacy Defect - Nitrogen Sleeve Minor Remediation - 7463" u="1"/>
        <s v="P - Feeder 07 - BAMA07 - Legacy Defect - Nitrogen Sleeve Minor Remediation - 7301" u="1"/>
        <s v="P - Feeder 07 - BAMA07 - Legacy Defect - Nitrogen Sleeve Minor Remediation - 7299" u="1"/>
        <s v="P - Feeder 07 - OLCH07 - Legacy Defect - Nitrogen Sleeve Minor Remediation - 7417" u="1"/>
        <s v="P - Feeder 07 - CHBA07 - Legacy Defect - Nitrogen Sleeve Minor Remediation - 7485" u="1"/>
        <s v="P - Feeder 12 - STAB12 - Legacy Defect - Nitrogen Sleeve Minor Remediation - 7552" u="1"/>
        <s v="P - Feeder 10 - STAB10 - Legacy Defect - Nitrogen Sleeve Minor Remediation - 7509" u="1"/>
        <s v="P - Feeder 07 - BAMA07 - Legacy Defect - Nitrogen Sleeve Minor Remediation - 7283" u="1"/>
        <s v="P - Feeder 07 - BAMA07 - Legacy Defect - Nitrogen Sleeve Minor Remediation - 7292" u="1"/>
        <s v="P - Feeder 07 - BAMA07 - Legacy Defect - Nitrogen Sleeve Minor Remediation - 7288" u="1"/>
        <s v="P - Feeder 07 - OLCH07 - Legacy Defect - Nitrogen Sleeve Minor Remediation - 7414" u="1"/>
        <s v="P - Feeder 07 - CHBA07 - Legacy Defect - Nitrogen Sleeve Minor Remediation - 7462" u="1"/>
        <s v="P - Feeder 07 - CHBA07 - Legacy Defect - Nitrogen Sleeve Minor Remediation - 7472" u="1"/>
        <s v="P - Feeder 07 - CHBA07 - Legacy Defect - Nitrogen Sleeve Minor Remediation - 7480" u="1"/>
        <s v="P - Feeder 07 - CHBA07 - Legacy Defect - Nitrogen Sleeve Minor Remediation - 7484" u="1"/>
        <s v="P - Feeder 07 - CHBA07 - Legacy Defect - Nitrogen Sleeve Minor Remediation - 7495" u="1"/>
        <s v="P - Feeder 07 - CHBA07 - Legacy Defect - Nitrogen Sleeve Minor Remediation - 7479" u="1"/>
        <s v="P - Feeder 07 - BAMA07 - Legacy Defect - Nitrogen Sleeve Minor Remediation - 7289" u="1"/>
        <s v="P - Feeder 07 - BAMA07 - Legacy Defect - Nitrogen Sleeve Minor Remediation - 7279" u="1"/>
        <s v="P - Feeder 14 - AUSH14 - Legacy Defect - Nitrogen Sleeve Minor Remediation - 7313" u="1"/>
        <s v="P - Feeder 07 - CHBA07 - Legacy Defect - Nitrogen Sleeve Minor Remediation - 7475" u="1"/>
        <s v="P - Feeder 07 - CHBA07 - Legacy Defect - Nitrogen Sleeve Minor Remediation - 7487" u="1"/>
        <s v="P - Feeder 14 - AUSH14 - Legacy Defect - Nitrogen Sleeve Minor Remediation - 7314" u="1"/>
        <s v="P - Feeder 02 - WOTR02 - Legacy Defect - Nitrogen Sleeve Minor Remediation - 7443" u="1"/>
        <s v="P - Feeder 07 - CHBA07 - Legacy Defect - Nitrogen Sleeve Minor Remediation - 7454" u="1"/>
        <s v="P - Feeder 07 - CHBA07 - Legacy Defect - Nitrogen Sleeve Minor Remediation - 7488" u="1"/>
        <s v="P - Feeder 07 - OLCH07 - Legacy Defect - Nitrogen Sleeve Minor Remediation - 7405" u="1"/>
        <s v="P - Feeder 07 - OLCH07 - Legacy Defect - Nitrogen Sleeve Minor Remediation - 7423" u="1"/>
        <s v="P - Feeder 07 - BAMA07 - Legacy Defect - Nitrogen Sleeve Minor Remediation - 7272" u="1"/>
        <s v="P - Feeder 07 - BAMA07 - Legacy Defect - Nitrogen Sleeve Minor Remediation - 7297" u="1"/>
        <s v="P - Feeder 07 - BAMA07 - Legacy Defect - Nitrogen Sleeve Minor Remediation - 7298" u="1"/>
        <s v="P - Feeder 14 - AUSH14 - Legacy Defect - Nitrogen Sleeve Minor Remediation - 7323" u="1"/>
        <s v="P - Feeder 07 - CHBA07 - Legacy Defect - Nitrogen Sleeve Minor Remediation - 7476" u="1"/>
        <s v="P - Feeder 07 - CHBA07 - Legacy Defect - Nitrogen Sleeve Minor Remediation - 7477" u="1"/>
        <s v="P - Feeder 07 - CHBA07 - Legacy Defect - Nitrogen Sleeve Minor Remediation - 7490" u="1"/>
        <s v="P - Feeder 07 - OLCH07 - Legacy Defect - Nitrogen Sleeve Minor Remediation - 16985" u="1"/>
        <s v="P - Feeder 07 - CHBA07 - Legacy Defect - Nitrogen Sleeve Minor Remediation - 17046" u="1"/>
        <s v="P - Feeder 11 - LOGR11 - Legacy Defect - Nitrogen Sleeve Minor Remediation - 11106" u="1"/>
        <s v="P - Feeder 07 - CHBA07 - Legacy Defect - Nitrogen Sleeve Minor Remediation - 13477" u="1"/>
        <s v="P - Feeder 11 - LOGR11 - Legacy Defect - Nitrogen Sleeve Minor Remediation - 11096" u="1"/>
        <s v="P - Feeder 07 - CHBA07 - Legacy Defect - Nitrogen Sleeve Minor Remediation - 16980" u="1"/>
        <s v="P - Feeder 07 - CHBA07 - Legacy Defect - Nitrogen Sleeve Minor Remediation - 16979" u="1"/>
        <s v="P - Feeder 11 - BALO11 - Legacy Defect - Nitrogen Sleeve Minor Remediation - 7393" u="1"/>
        <s v="P - Feeder 10 - KIBA10 - Legacy Defect - Nitrogen Sleeve Minor Remediation - 11102" u="1"/>
        <s v="P - Feeder 12 - BALO12 - Legacy Defect - Nitrogen Sleeve Minor Remediation - 11113" u="1"/>
        <s v="P - Feeder 13 - COYA13 - Legacy Defect - Nitrogen Sleeve Minor Remediation - 11387" u="1"/>
        <s v="P - Feeder 13 - COYA13 - Legacy Defect - Nitrogen Sleeve Minor Remediation - 11388" u="1"/>
        <s v="P - Feeder 13 - COYA13 - Legacy Defect - Nitrogen Sleeve Minor Remediation - 11386" u="1"/>
        <s v="P - Feeder 13 - COYA13 - Legacy Defect - Nitrogen Sleeve Minor Remediation - 11385" u="1"/>
        <s v="P - Feeder 13 - COYA13 - Legacy Defect - Nitrogen Sleeve Minor Remediation - 11356" u="1"/>
        <s v="P - Feeder 11 - BALO11 - Legacy Defect - Nitrogen Sleeve Minor Remediation - 7392" u="1"/>
        <s v="P - Feeder 12 - BALO12 - Legacy Defect - Nitrogen Sleeve Minor Remediation - 7270" u="1"/>
        <s v="P - Feeder 11 - BALO11 - Legacy Defect - Nitrogen Sleeve Minor Remediation - 7391" u="1"/>
        <s v="P - Feeder 10 - KIBA10 - Legacy Defect - Nitrogen Sleeve Minor Remediation - 7498" u="1"/>
        <s v="P - Feeder 13 - HASI13 - Legacy Defect - Nitrogen Sleeve Minor Remediation - 11100" u="1"/>
        <s v="P - Feeder 04 - SHWE04 - Legacy Defect - Nitrogen Sleeve Minor Remediation - 11167" u="1"/>
        <s v="P - Feeder 07 - BIPA07 - Legacy Defect - Nitrogen Sleeve Minor Remediation - 11374" u="1"/>
        <s v="P - Feeder 13 - COYA13 - Legacy Defect - Nitrogen Sleeve Minor Remediation - 11409" u="1"/>
        <s v="P - Feeder 02 - TRDO02 - Legacy Defect - Nitrogen Sleeve Minor Remediation - 11366" u="1"/>
        <s v="P - Feeder 02  -  DOWLAIS-DYFFRYN CLYDACH -  DODY02 - ILI Inspection 1 - FY28" u="1"/>
        <s v="P - Feeder 02  -  DOWLAIS-DYFFRYN CLYDACH -  DODY02 - ILI Inspection 1 Dig 1 - FY30" u="1"/>
        <s v="P - Feeder 02  -  DOWLAIS-DYFFRYN CLYDACH -  DODY02 - ILI Inspection 1 Dig 2 - FY30" u="1"/>
        <s v="P - Feeder 02  -  PBORO TEE-PBORO PWR STN -  PEPE02 - ILI Inspection 1 - FY28" u="1"/>
        <s v="P - Feeder 04  -  BLABY-ALREWAS -  BLAL04 - ILI Inspection 1 Dig 1 - FY31" u="1"/>
        <s v="P - Feeder 04  -  BLABY-ALREWAS -  BLAL04 - ILI Inspection 1 Dig 2 - FY31" u="1"/>
        <s v="P - Feeder 04 - HELSBY-SHELLSTAR - HESH04 - ILI FY26 Inspection Placeholder Dig - FY28" u="1"/>
        <s v="P - Feeder 05  -  ROXWELL-ABRIDGE-LUXBOROUGH -  ROLU05 - ILI Inspection 2 - FY30" u="1"/>
        <s v="P - Feeder 05  -  SHORNE-ISLE OF GRAIN -  SHIS05 - ILI 2025 Inspection Dig 1 - FY28" u="1"/>
        <s v="P - Feeder 05  -  STOWMARKET-BRAINTREE -  STBR05 - ILI Inspection 1 Dig 1 - FY30" u="1"/>
        <s v="P - Feeder 05  -  STOWMARKET-BRAINTREE -  STBR05 - ILI Inspection 1 Dig 2 - FY30" u="1"/>
        <s v="P - Feeder 05  -  YELVERTON-STOWMARKET -  YEST05 - ILI Inspection 1 - FY31" u="1"/>
        <s v="P - Feeder 07  -  CHALGROVE-BARTON STACEY -  CHBA07 - ILI Inspection 1 - FY27" u="1"/>
        <s v="P - Feeder 07  -  GOSBERTON - HATTON -  HAGO07 - ILI Inspection 1 Dig 2 - FY29" u="1"/>
        <s v="P - Feeder 07  -  SUSWORTH TRENT EAST-HATTON -  SUHA07 - ILI Inspection 1 - FY28" u="1"/>
        <s v="P - Feeder 09  -  PETERBOROUGH-WHITWELL -  PEWH09 - ILI Inspection 1 Dig 3 - FY30" u="1"/>
        <s v="P - Feeder 09  -  PETERBOROUGH-WHITWELL -  PEWH09 - ILI Inspection 1 Dig 4 - FY30" u="1"/>
        <s v="P - Feeder 09  -  SILK WILLOUGHBY - STAYTHORPE -  SIST09 - ILI Inspection 1 Dig 1 - FY29" u="1"/>
        <s v="P - Feeder 10  -  ABERDEEN-KIRRIEMUIR -  ABKI10 - ILI Inspection 1 Dig 3 - FY31" u="1"/>
        <s v="P - Feeder 10  -  BOON-COLDSTREAM -  BOCO10 - ILI Inspection 1 - FY36" u="1"/>
        <s v="P - Feeder 10  -  LOCATION 9001-ABERDEEN -  STAB10 - ILI Inspection 1 - FY28" u="1"/>
        <s v="P - Feeder 10  -  LOCATION 9001-ABERDEEN -  STAB10 - ILI Inspection 1 Dig 2 - FY30" u="1"/>
        <s v="P - Feeder 11  -  ABERDEEN-KIRRIEMUIR -  ABKI11 - ILI Inspection 1 Dig 2 - FY30" u="1"/>
        <s v="P - Feeder 11  -  BATHGATE-LONGTOWN -  BALO11 - ILI FY25 inspection Dig 1  - FY27" u="1"/>
        <s v="P - Feeder 11  -  BATHGATE-LONGTOWN -  BALO11 - ILI FY25 inspection Dig 3 - FY27" u="1"/>
        <s v="P - Feeder 11  -  BATHGATE-LONGTOWN -  BALO11 - ILI FY25 inspection Dig 4 - FY27" u="1"/>
        <s v="P - Feeder 11  -  BATHGATE-LONGTOWN -  BALO11 - ILI FY25 inspection Dig 5 - FY27" u="1"/>
        <s v="P - Feeder 11  -  GRAYRIGG-SAMLESBURY -  GRSA11 - ILI 2025 inspection Dig 2 - FY28" u="1"/>
        <s v="P - Feeder 11  -  KIRRIEMUIR-BATHGATE -  KIBA11 - ILI Inspection 1 - FY28" u="1"/>
        <s v="P - Feeder 11  -  LOCATION 9001-ABERDEEN -  STAB11 - ILI Inspection 1 - FY28" u="1"/>
        <s v="P - Feeder 11  -  LOCATION 9001-ABERDEEN -  STAB11 - ILI Inspection 1 Dig 1 - FY30" u="1"/>
        <s v="P - Feeder 12  -  KIRRIEMUIR-BATHGATE -  KIBA12 - ILI FY25 inspection Dig 2 - FY27" u="1"/>
        <s v="P - Feeder 12  -  KIRRIEMUIR-BATHGATE -  KIBA12 - ILI FY25 inspection Dig 5 - FY27" u="1"/>
        <s v="P - Feeder 12  -  KIRRIEMUIR-BATHGATE -  KIBA12 - ILI Inspection 1 - FY30" u="1"/>
        <s v="P - Feeder 12  -  LONGTOWN-BISHOP AUCKLAND -  LOBI12 - ILI Inspection 1 - FY27" u="1"/>
        <s v="P - Feeder 13  -  ABERDEEN-ARBROATH -  ABAR13 - ILI Inspection 1 - FY27" u="1"/>
        <s v="P - Feeder 13  -  ARBROATH-HADDINGTON -  ARHA13 - ILI Inspection 1 Dig 3 - FY29" u="1"/>
        <s v="P - Feeder 13  -  SIMPRIM-CORBRIDGE -  SICO13 - ILI Inspection 1 - FY27" u="1"/>
        <s v="P - Feeder 13  -  LOCATION 9001-ABERDEEN -  STAB13 - ILI Inspection 1 - FY29" u="1"/>
        <s v="P - Feeder 14  -  ALREWAS-CHURCHOVER -  CHAL14 - ILI Inspection 1 - FY27" u="1"/>
        <s v="P - Feeder 15  -  BRETHERTON-WARBURTON -  BRWA15 - ILI Inspection 1 Dig 2 - FY30" u="1"/>
        <s v="P - Feeder 15  -  PLUMPTON-LUPTON -  PLLU15 - ILI Inspection 1 - FY31" u="1"/>
        <s v="P - Feeder 18  -  ISLE OF GRAIN-GRAVESEND -  ISGR18 - ILI 2025 inspection Dig 1  - FY28" u="1"/>
        <s v="P - Feeder 18  -  PETERBOROUGH-HUNTINGDON -  PEHU18 - ILI Inspection 1 Dig 1 - FY29" u="1"/>
        <s v="P - Feeder 20  -  WORMINGTON-SAPPERTON -  WOSA20 - ILI Inspection 1 - FY27" u="1"/>
        <s v="P - Feeder 20  -  WORMINGTON-SAPPERTON -  WOSA20 - ILI Inspection 1 Dig 1 - FY29" u="1"/>
        <s v="P - Feeder 21  -  MAWDESLEY-WARBURTON -  MAWA21 - Inspection Dig 1 - FY28" u="1"/>
        <s v="P - Feeder 07  -  CASU07 -  OLI/4 Pipeline Defect Remediation 1 -ASSELBY - DRAX RIVER OUSE CROSSING - FY30" u="1"/>
        <s v="P - Feeder 07  -  CAWOOD TO SUSWORTH TRENT WEST -  CASU07 - OLI/4 Inspection 1- GOOLE TO GUARDIAN GLASS - FY28" u="1"/>
        <s v="P - Feeder 07  -  CAWOOD TO SUSWORTH TRENT WEST -  CASU07 -  OLI/4 Pipeline Defect Remediation 1- GOOLE TO GUARDIAN GLASS - FY30" u="1"/>
        <s v="P - Feeder 09  -  EASINGTON TO DIMLINGTON -  EADI09 - OLI/4 Inspection 1- EASINGTON TO CENTRICA SURVEILLANCE SECTION - FY28" u="1"/>
        <s v="P - Feeder 04  -  SHANGTON TO TUR LANGTON -  SHTU04 - OLI/4 Inspection 1 - FY27" u="1"/>
        <s v="P - Feeder 21  -  HOLLINSGREEN TO HAYS CHEMICALS -  HOHA21 - OLI/4 Inspection 1 - FY27" u="1"/>
        <s v="P - Feeder 21  -  MICKLE TRAFFORD TO DEESIDE -  MIDE21 - OLI/4 Inspection 2 - BURTON POINT SPUR - FY31" u="1"/>
        <s v="P - Feeder 21  -  MIDE21 -  OLI/4 Pipeline Defect Remediation 1 - SHOTWICK HOT TAP TO SHOTWICK AGI   - FY29" u="1"/>
        <s v="P - Feeder 21  -  MICKLE TRAFFORD TO DEESIDE -  MIDE21 -  OLI/4 Pipeline Defect Remediation 1 - SURVEILLANCE SECTION - FY31" u="1"/>
        <s v="P - Feeder 04  -  SHOCKLACH - MAELOR -  SHMA04 -  OLI/4 Pipeline Defect Remediation 1 - FY29" u="1"/>
        <s v="P - Feeder 14  -  CHURCHOVER TO WORMINGTON -  CHWO14 - OLI/4 Inspection 1 - CHURCHOVER COMP DISCHARGE LEG - FY29" u="1"/>
        <s v="P - Feeder 28  -  FELINDRE TO CILFREW -  FECI28 - OLI/4 Inspection 1 - FY29" u="1"/>
        <s v="P - Feeder 20  -  CENTRAX TEE TO CENTRAX OT 20F -  CECE20 -  OLI/4 Pipeline Defect Remediation 1 - FY31" u="1"/>
        <s v="P - Feeder 7  -  CHALGROVE TO DIDCOT -  CHDI07 - OLI/4 Inspection 1 - FY30" u="1"/>
        <s v="P - Feeder 12  -  ABERDEEN TO KIRRIEMUIR -  ABKI12 - OLI/4 Inspection 1 - FY29" u="1"/>
        <s v="P - Feeder 12  -  ABERDEEN TO KIRRIEMUIR -  ABKI12 -  OLI/4 Pipeline Defect Remediation 1 - FY31" u="1"/>
        <s v="P - Feeder 06  -  SPROATLEY - ALDBROUGH -  SPAL06 - ILI Inspection 1 Placeholder Dig - FY30" u="1"/>
        <s v="P - Feeder 07  -  SUSWORTH TRENT CROSSING S -  0 - ILI Inspection 1 Placeholder Dig - FY30" u="1"/>
        <s v="P - Feeder 02 - CACO02- Caldecott to Corby PS - N/A - CIPS for Capital Refurbishment - Survey -1 - FY27" u="1"/>
        <s v="P - Feeder 03 - ROGR03- Roudham Heath to Gt Wilbraham - N/A - CIPS for Capital Refurbishment - Survey -1 - FY27" u="1"/>
        <s v="P - Feeder 14 - PUIL14- PUCKLECHURCH TO ILCHESTER - N/A - CIPS for Capital Refurbishment - Survey -1 - FY27" u="1"/>
        <s v="P - Feeder 21 - TRBU21- TREALES TO BURSCOUGH - N/A - CIPS for Capital Refurbishment - Survey -1 - FY27" u="1"/>
        <s v="P - Feeder 22 - HAPE22- Silk Willoughby to Peterboro - N/A - CIPS for Capital Refurbishment - Survey -1 - FY29" u="1"/>
        <s v="P - Feeder 05 - SHIS05- Malmaynes IJ to IoG - N/A - CIPS for Capital Refurbishment - Survey -1 - FY27" u="1"/>
        <s v="P - Feeder 07 - EAKE07- Eastoft to Keadby - N/A - CIPS for Capital Refurbishment - Survey -1 - FY31" u="1"/>
        <s v="P - Feeder 10 - BAPE10- Bathgate to Penicuik - N/A - CIPS for Capital Refurbishment - Survey -1 - FY27" u="1"/>
        <s v="P - Feeder 15 - WHWA15- WHEELOCK TO WARMINGHAM - N/A - CIPS for Capital Refurbishment - Survey -1 - FY27" u="1"/>
        <s v="P - Feeder 22 - HAPE22- Hatton to Silk Willoughby - N/A - CIPS for Capital Refurbishment - Survey -1 - FY31" u="1"/>
        <s v="P - Feeder 10 - KIBA10- Kirriemuir to Crieff - N/A - CIPS for Capital Refurbishment - Survey -1 - FY28" u="1"/>
        <s v="P - Feeder 13 - COYA13- Cowpen Bewley to Bishop Auckland - N/A - CIPS for Capital Refurbishment - Survey -1 - FY28" u="1"/>
        <s v="P - Feeder 02 - TRDO02- RIVER MONNOW TO DOWLAIS - N/A - CIPS for Capital Refurbishment - Survey -1 - FY28" u="1"/>
        <s v="P - Feeder 07 - BIPA07- Sutton Howgrave to Pannal - N/A - CIPS for Capital Refurbishment - Survey -1 - FY28" u="1"/>
        <s v="P - Feeder 10 - KIBA10- Crieff to Bathgate - N/A - CIPS for Capital Refurbishment - Survey -1 - FY28" u="1"/>
        <s v="P - Feeder 28 - FETH28- Felindre to Llanwrda - N/A - CIPS for Capital Refurbishment - Survey -1 - FY28" u="1"/>
        <s v="P - Feeder 09 - BALO09- BARTON STACEY TO LOCKERLEY - N/A - CIPS for Capital Refurbishment - Survey -1 - FY29" u="1"/>
        <s v="P - Feeder 12 - STAB12- LOCATION 9001 to Aberdeen - N/A - CIPS for Capital Refurbishment - Survey -1 - FY29" u="1"/>
        <s v="P - Feeder 18 - ISGR18- ISLE OF GRAIN TO GRAVESEND - N/A - CIPS for Capital Refurbishment - Survey -1 - FY28" u="1"/>
        <s v="P - Feeder 18 - PEHU18- PETERBORO' TO LUTTON - N/A - CIPS for Capital Refurbishment - Survey -1 - FY28" u="1"/>
        <s v="P - Feeder 24 - STLO24- AUCHNAGATT TO UDNY GREEN - N/A - CIPS for Capital Refurbishment - Survey -1 - FY29" u="1"/>
        <s v="P - Feeder 05 - ROLU05- Abridge to Luxb Lane - N/A - CIPS for Capital Refurbishment - Survey -1 - FY29" u="1"/>
        <s v="P - Feeder 11 - ABKI11- Aberdeen to Kirrriemuir - N/A - CIPS for Capital Refurbishment - Survey -1 - FY29" u="1"/>
        <s v="P - Feeder 12 - LOBI12- Allendale to Bishop Auckland - N/A - CIPS for Capital Refurbishment - Survey -1 - FY29" u="1"/>
        <s v="P - Feeder 20 - ILKE20- BARRINGTON TO OTTERY - N/A - CIPS for Capital Refurbishment - Survey -1 - FY29" u="1"/>
        <s v="P - Feeder 20 - KECH20- FISHACRE TO CHOAKFORD - N/A - CIPS for Capital Refurbishment - Survey -1 - FY29" u="1"/>
        <s v="P - Feeder 20 - KECH20- KENN SOUTH TO FISHACRE - N/A - CIPS for Capital Refurbishment - Survey -1 - FY29" u="1"/>
        <s v="P - Feeder 20 - ILKE20- OTTERY ST. MARY TO AYLESBEARE - N/A - CIPS for Capital Refurbishment - Survey -1 - FY29" u="1"/>
        <s v="P - Feeder 04 - BAWI04- KINGS LYNN COMP TO WISBECH NW - N/A - CIPS for Capital Refurbishment - Survey -1 - FY29" u="1"/>
        <s v="P - Feeder 06 - ELPI06- Elton to Pickering - N/A - CIPS for Capital Refurbishment - Survey -1 - FY30" u="1"/>
        <s v="P - Feeder 14 - 0- Aylesbeare to Kenn - N/A - CIPS for Capital Refurbishment - Survey -1 - FY30" u="1"/>
        <s v="P - Feeder 15 - LOPL15- Longtown to Plumpton Head - N/A - CIPS for Capital Refurbishment - Survey -1 - FY30" u="1"/>
        <s v="P - Feeder 13 - ARHA13- Tayport to Drumeldrie - N/A - CIPS for Capital Refurbishment - Survey -1 - FY30" u="1"/>
        <s v="P - Feeder 02 - DUCH02- Duddington to Churchover - N/A - CIPS for Capital Refurbishment - Survey -1 - FY29" u="1"/>
        <s v="P - Feeder 13 - ARHA13- Arbroath to Monifieth - N/A - CIPS for Capital Refurbishment - Survey -1 - FY31" u="1"/>
        <s v="P - Feeder 13 - ARHA13- Gullane to Haddington - N/A - CIPS for Capital Refurbishment - Survey -1 - FY31" u="1"/>
        <s v="P - Feeder 21 - WAAU21- Warburton to Audley - N/A - CIPS for Capital Refurbishment - Survey -1 - FY31" u="1"/>
        <s v="P - Feeder 04 - WAAU04- Warburton to Audley - N/A - CIPS for Capital Refurbishment - Survey -1 - FY31" u="1"/>
        <s v="P - Feeder 05 - BRHO05- Braintree to Horndon North Section - N/A - CIPS for Capital Refurbishment - Survey -1 - FY30" u="1"/>
        <s v="P - Feeder 04 - BAWI04- LOCATION 09999 to Gt Ryburgh - N/A - CIPS for Capital Refurbishment - Survey -1 - FY29" u="1"/>
        <s v="P - Feeder 04 - SHOCKLACH TO WESTON POINT  - SHWE04 - FY25 ILI Inspection Dig 1 - FY27" u="1"/>
        <s v="Si - MATCHING GREEN - NT2815-SS-ME-PRESSURE VESSELS-PIG TRAP-System-B - N/A - PIG Trap (PSSR Inspection - Major)" u="1"/>
        <s v="Si - LOCATION 09999 OFFTAKE - NT1213PGSE-1213E - N/A - PIG Trap (PSSR Inspection - Major)" u="1"/>
        <s v="Si - KINGS LYNN COMP. TEE - NT1222-SS-ME-PRESSURE VESSELS-PIG TRAP-System-A - N/A - PIG Trap (PSSR Inspection - Major)" u="1"/>
        <s v="Si - BLABY - NT1439-SS-ME-PRESSURE VESSELS-PIG TRAP-System-B - N/A - PIG Trap (PSSR Inspection - Major)" u="1"/>
        <s v="Si - HATTON - NT1739-SS-ME-PRESSURE VESSELS-PIG TRAP-System-D - N/A - PIG Trap (PSSR Inspection - Major)" u="1"/>
        <s v="Si - BOON - NT4937PGSB-4937B - N/A - PIG Trap (PSSR Inspection - Major)" u="1"/>
        <s v="Si - ABERDEEN MULTIJUNCTION - NT6021-SS-ME-PRESSURE VESSELS-PIG TRAP-System-J - N/A - PIG Trap (PSSR Inspection - Major)" u="1"/>
        <s v="Si - BATHGATE - NT6055-SS-ME-PRESSURE VESSELS-PIG TRAP-System-D - N/A - PIG Trap (PSSR Inspection - Major)" u="1"/>
        <s v="Si - BATHGATE - NT6055-SS-ME-PRESSURE VESSELS-PIG TRAP-System-E - N/A - PIG Trap (PSSR Inspection - Major)" u="1"/>
        <s v="Si - PETERBOROUGH COMP. TEE - NT1234-SS-ME-PRESSURE VESSELS-PIG TRAP-System-B - N/A - PIG Trap (PSSR Inspection - Major)" u="1"/>
        <s v="Si - PICKERING - NT1631-SS-ME-PRESSURE VESSELS-PIG TRAP-System-B - N/A - PIG Trap (PSSR Inspection - Major)" u="1"/>
        <s v="Si - GOXHILL - NT1903-SS-ME-PRESSURE VESSELS-PIG TRAP-System-A - N/A - PIG Trap (PSSR Inspection - Major)" u="1"/>
        <s v="Si - MATCHING GREEN - NT2815-SS-ME-PRESSURE VESSELS-PIG TRAP-System-A - N/A - PIG Trap (PSSR Inspection - Major)" u="1"/>
        <s v="Si - WARBURTON - NT3625-SS-ME-PRESSURE VESSELS-PIG TRAP-System-A - N/A - PIG Trap (PSSR Inspection - Major)" u="1"/>
        <s v="Si - WARBURTON - NT3625-SS-ME-PRESSURE VESSELS-PIG TRAP-System-C - N/A - PIG Trap (PSSR Inspection - Major)" u="1"/>
        <s v="Si - LITTLE BURDON - NT4829-SS-ME-PRESSURE VESSELS-PIG TRAP-System-A - N/A - PIG Trap (PSSR Inspection - Major)" u="1"/>
        <s v="Si - BISHOP AUCKLAND - NT4841-SS-ME-PRESSURE VESSELS-PIG TRAP-System-C - N/A - PIG Trap (PSSR Inspection - Major)" u="1"/>
        <s v="Si - CORBRIDGE - NT6369-SS-ME-PRESSURE VESSELS-PIG TRAP-System-A - N/A - PIG Trap (PSSR Inspection - Major)" u="1"/>
        <s v="Si - GREAT WILBRAHAM - NT1327-SS-ME-PRESSURE VESSELS-PIG TRAP-System-B - N/A - PIG Trap (PSSR Inspection - Major)" u="1"/>
        <s v="Si - STOWMARKET - NT1521PGSA-PTA - N/A - PIG Trap (PSSR Inspection - Major)" u="1"/>
        <s v="Si - SPROATLEY - NT1618-SS-ME-PRESSURE VESSELS-PIG TRAP-System-A - N/A - PIG Trap (PSSR Inspection - Major)" u="1"/>
        <s v="Si - SUSWORTH TRENT EAST - NT1749-SS-ME-PRESSURE VESSELS-PIG TRAP-System-A - N/A - PIG Trap (PSSR Inspection - Major)" u="1"/>
        <s v="Si - SUSWORTH TRENT EAST - NT1749-SS-ME-PRESSURE VESSELS-PIG TRAP-System-C - N/A - PIG Trap (PSSR Inspection - Major)" u="1"/>
        <s v="Si - ASSELBY - NT1763-SS-ME-PRESSURE VESSELS-PIG TRAP-System-B - N/A - PIG Trap (PSSR Inspection - Major)" u="1"/>
        <s v="Si - ILCHESTER - NT2127-SS-ME-PRESSURE VESSELS-PIG TRAP-System-B - N/A - PIG Trap (PSSR Inspection - Major)" u="1"/>
        <s v="Si - DYFFRYN CLYDACH - NT3943-SS-ME-PRESSURE VESSELS-PIG TRAP-System-A - N/A - PIG Trap (PSSR Inspection - Major)" u="1"/>
        <s v="Si - SAMLESBURY - NT4357-SS-ME-PRESSURE VESSELS-PIG TRAP-System-A - N/A - PIG Trap (PSSR Inspection - Major)" u="1"/>
        <s v="Si - MOFFAT OFFTAKE - NT7040-SS-ME-PRESSURE VESSELS-PIG TRAP-System-A - N/A - PIG Trap (PSSR Inspection - Major)" u="1"/>
        <s v="Si - ROXWELL - NT1530-SS-ME-PRESSURE VESSELS-PIG TRAP-System-A - N/A - PIG Trap (PSSR Inspection - Major)" u="1"/>
        <s v="Si - DEESIDE AGI - NT4526-SS-ME-PRESSURE VESSELS-PIG TRAP-System-A - N/A - PIG Trap (PSSR Inspection - Major)" u="1"/>
        <s v="Si - ALREWAS MULTIJUNCTION - NT8157-SS-ME-PRESSURE VESSELS-PIG TRAP-System-E - N/A - PIG Trap (PSSR Inspection - Major)" u="1"/>
        <s v="P - Feeder 21 - NW21WAAU - WARBURTON TO AUDLEY - Cathodic Protection - AC Mitigiation Survey and Design" u="1"/>
        <s v="P - FEEDER 05 - SE05SHIS - SHORNE TO ISLE OF GRAIN - CIPS Remediation - CIPS Dig - FY29" u="1"/>
        <s v="P - FEEDER 09 - EM09SIST - SILK WILLOUGHBY TO STAYTHORPE PS - CIPS Remediation - CIPS Dig - FY30" u="1"/>
        <s v="P - FEEDER 04 - EM04BLAL - BLABY TO ALREWAS - CIPS Remediation - CIPS Dig - FY29" u="1"/>
        <s v="P - FEEDER 22 - EM22GOHA - GOXHILL TO HATTON - CIPS Remediation - CIPS Dig - FY29" u="1"/>
        <s v="P - FEEDER 07 - EA07TYOL - TYDD ST. GILES TO OLD WARDEN - CIPS Remediation - CIPS Dig - FY30" u="1"/>
        <s v="P - FEEDER 10 - SC10STAB - ST. FERGUS TO ABERDEEN 10 - CIPS Remediation - CIPS Dig - FY30" u="1"/>
        <s v="P - FEEDER 18 - SE18ISGR - ISLE OF GRAIN TO GRAVESEND - CIPS Remediation - CIPS Dig - FY30" u="1"/>
        <s v="P - FEEDER 18 - EA18PEHU - PETERBOROUGH TO HUNTINGDON - CIPS Remediation - CIPS Dig - FY30" u="1"/>
        <s v="P - FEEDER 05 - EA05BAYE - LOCATION 09999 TO YELVERTON - CIPS Remediation - CIPS Dig - FY30" u="1"/>
        <s v="P - FEEDER 09 - SO09BALO - BARTON STACEY TO LOCKERLEY - CIPS Remediation - CIPS Dig - FY31" u="1"/>
        <s v="P - FEEDER 20 - SW20KECH - KENN SOUTH TO CHOAKFORD - CIPS Remediation - CIPS Dig - FY31" u="1"/>
        <s v="P - FEEDER 02 - EA02BAWI - LOCATION 09999 TO WISBECH NENE WEST 02 - CIPS Remediation - CIPS Dig - FY30" u="1"/>
        <s v="P - FEEDER 03 - EA03ROGR - ROUDHAM HEATH TO GREAT WILBRAHAM - CIPS Remediation - Install new CP System - FY29" u="1"/>
        <s v="P - FEEDER 02 - EA02WIDU - WISBECH NENE WEST TO DUDDINGTON - CIPS Remediation - Install new CP System - FY29" u="1"/>
        <s v="P - FEEDER 03 - EA03GRWH - GREAT WILBRAHAM TO WHITWELL - CIPS Remediation - Install new CP System - FY29" u="1"/>
        <s v="P - FEEDER 05 - EA05YEST - YELVERTON TO STOWMARKET - CIPS Remediation - Install new CP System - FY29" u="1"/>
        <s v="P - FEEDER 07 - EA07TYOL - TYDD ST. GILES TO OLD WARDEN - CIPS Remediation - Install new CP System - FY29" u="1"/>
        <s v="P - FEEDER 03 - EA03BARO - LOCATION 09999 TO ROUDHAM HEATH - CIPS Remediation - Install new CP System - FY30" u="1"/>
        <s v="P - FEEDER 10 - SC10STAB - ST. FERGUS TO ABERDEEN 10 - CIPS Remediation - Install new CP System - FY30" u="1"/>
        <s v="P - FEEDER 10 - SC10ABKI - ABERDEEN TO KIRRIEMUIR 10 - CIPS Remediation - Install new CP System - FY30" u="1"/>
        <s v="P - FEEDER 11 - NO11LOGR - LONGTOWN TO GRAYRIGG - CIPS Remediation - Install new CP System - FY30" u="1"/>
        <s v="P - FEEDER 28 - WA28FETH - FELINDRE TO THREE COCKS - CIPS Remediation - Install new CP System - FY30" u="1"/>
        <s v="P - FEEDER 12 - NO12LOBI - LONGTOWN TO BISHOP AUCKLAND - CIPS Remediation - Install new CP System - FY31" u="1"/>
        <s v="P - SHOCKLACH TO MAELOR - Watercourse crossings defect resolution" u="1"/>
        <s v="P - DUDDINGTON TO CHURCHOVER - RDOC Defect Mitigation- Fencing and Ditch Board Installation" u="1"/>
        <s v="P - ABERDEEN TO KIRRIEMUIR 11 - Nitrogen sleeve remediation - Minor" u="1"/>
        <s v="P - GRAVESEND THAMES SOUTH TO TATSFIELD - Nitrogen sleeve remediation - Minor" u="1"/>
        <s v="P - LONGTOWN TO BISHOP AUCKLAND - Nitrogen sleeve remediation - Minor" u="1"/>
        <s v="P - BARTON STACEY TO MAPPOWDER - RDOC Defect Mitigation- Fencing and Ditch Board Installation" u="1"/>
        <s v="P - BOON TO COLDSTREAM - RDOC Defect Mitigation- Fencing and Ditch Board Installation" u="1"/>
        <s v="P - PETERBOROUGH TEE TO PETERBOROUGH PS - RDOC Defect Mitigation- Fencing and Ditch Board Installation" u="1"/>
        <s v="P - TREADDOW TO DOWLAIS - Watercourse crossings defect resolution" u="1"/>
        <s v="P - BARTON STACEY TO MAPPOWDER - Nitrogen sleeve remediation - Minor" u="1"/>
        <s v="P - LUPTON TO BRETHERTON - Nitrogen Sleeve- Grouting" u="1"/>
        <s v="P - Feeder 26 - HUNTINGDON TO STEPPINGLEY 26 - CIPS Dig T2 Rollover" u="1"/>
        <s v="P - Feeder 15 - LUPTON TO BRETHERTON 15 - CIPS Dig T2 Rollover" u="1"/>
        <s v="P - Feeder 4 - TIXOVER TO BLABY 4 - CIPS Dig T2 Rollover" u="1"/>
        <s v="P - Feeder 21 - TREALES TO BURSCOUGH 21 - CIPS Dig T2 Rollover" u="1"/>
        <s v="P - Feeder 24 - HATTON TO SILK WILLOUGHBY 24 - CIPS Dig T2 Rollover" u="1"/>
        <s v="P - Feeder 27 - CAMBRIDGE TO MATCHING GREEN 27 - CIPS Dig T2 Rollover" u="1"/>
        <s v="P - Feeder 15 - LUPTON TO BRETHERTON 15 - CIPS - New CP System T2 Rollover" u="1"/>
        <s v="P - FEEDER - 14 - SW14BAKE - BARRINGTON TO KENN - CIPS Remediation - Install New CP system - FY30" u="1"/>
        <s v="P - FEEDER - 27 - EA27CAMA - CAMBRIDGE TO MATCHING GREEN - CIPS Remediation - Install New CP system - FY30" u="1"/>
        <s v="P - Feeder 15  -  LUPTON TO BRETHERTON -  LUBR15 - ILI Inspection 1 - FY27" u="1"/>
        <s v="P - Feeder 12  -  ST. FERGUS TO ABERDEEN 12 -  STAB12 - ILI Inspection 1 - FY27" u="1"/>
        <s v="P - Feeder 15  -  LUPTON TO BRETHERTON -  LUBR15 - ILI Inspection 1 Dig 1 - FY29" u="1"/>
        <s v="P - Feeder 12  -  ST. FERGUS TO ABERDEEN 12 -  STAB12 - ILI Inspection 1 Dig 1 - FY29" u="1"/>
        <s v="P - WEST - Nitrogen Sleeve - Nitrogen Sleeve Minor Remediation - P-044 - Draw Down" u="1"/>
        <s v="P - WEST - Transformer - Transformer Rectifier Replacement - P-033 - Draw Down" u="1"/>
        <s v="P - WEST - Pipeline - RDOC Fencing &amp; Ditch Board Installation - P-096 - Draw Down" u="1"/>
        <s v="P - WEST - Pipeline - Easement Reinstatement (Scrub) - P-065 - Draw Down" u="1"/>
        <s v="P - EAST - Transformer - Transformer Rectifier Replacement - P-033 - Draw Down" u="1"/>
        <s v="P - EAST - Pipeline - Stopples Investigation - P-103 - Draw Down" u="1"/>
        <s v="P - EAST - Pipeline - Easement Reinstatement (Scrub) - P-065 - Draw Down" u="1"/>
        <s v="P - NORTH - CP Test Post - CP Test Post Replacement/Repair  - P-034 - Draw Down" u="1"/>
        <s v="P - NORTH - Nitrogen Sleeve - Nitrogen Sleeve Minor Remediation - P-044 - Draw Down" u="1"/>
        <s v="P - NORTH - Pipeline - Easement Reinstatement (Scrub) - P-065 - Draw Down" u="1"/>
        <s v="P - NORTH - Pig Trap - PIG Trap PSSR Minor Defect Resolution - P-018 - Draw Down" u="1"/>
        <s v="P - REGION 004 and North - CP Test Post - CP Test Post Replacement/Repair  - P-034 - Draw Down" u="1"/>
        <s v="P - EAST - AC interference PIG tool- to be added to PSSR ILI run - Draw Down" u="1"/>
        <s v="P - Feeder 15 - PLLU15 - PLUMPTON HEAD TO LUPTON - Project Union - North West FEED" u="1"/>
        <s v="P - Feeder 11 - GRSA11 - GRAYRIGG TO SAMLESBURY - Project Union - North West FEED" u="1"/>
        <s v="P - Feeder 15 - BRWA15 - BRETHERTON TO WARBURTON - Project Union - North West FEED" u="1"/>
        <s v="P - Feeder 12 - STAB12 - ST. FERGUS TO ABERDEEN 12 - Project Union - LOCATION 9001 to Teeside FEED" u="1"/>
        <s v="P - Feeder 12 - LOBI12 - LONGTOWN TO BISHOP AUCKLAND - Project Union - LOCATION 9001 to Teeside FEED" u="1"/>
        <s v="P - Feeder 05 - ISLE OF GRAIN TO MEDWAY - ISME05  - FY25 ILI Inspection Placeholder Dig 2 - FY27" u="1"/>
        <s v="P - Feeder 05 - ISLE OF GRAIN TO MEDWAY - ISME05  - FY25 ILI Inspection Placeholder Dig 7 - FY27" u="1"/>
        <s v="P - Feeder 11  -  BATHGATE-LONGTOWN -  BALO11 - ILI FY25 inspection Dig 7 - FY27" u="1"/>
        <s v="P - Feeder 11  -  BATHGATE-LONGTOWN -  BALO11 - ILI FY25 inspection Dig 9 - FY27" u="1"/>
        <s v="P - Feeder 11  -  BATHGATE-LONGTOWN -  BALO11 - ILI FY25 inspection Dig 11 - FY27" u="1"/>
        <s v="P - Feeder 11  -  BATHGATE-LONGTOWN -  BALO11 - ILI FY25 inspection Dig 12 - FY27" u="1"/>
        <s v="P - Feeder 11  -  BATHGATE-LONGTOWN -  BALO11 - ILI FY25 inspection Dig 15 - FY27" u="1"/>
        <s v="P - Feeder 11  -  BATHGATE-LONGTOWN -  BALO11 - ILI FY25 inspection Dig 17 - FY27" u="1"/>
        <s v="P - Feeder 12  -  BATHGATE-LONGTOWN -  BALO12 - ILI FY25 inspection Dig 12 - FY27" u="1"/>
        <s v="P - Feeder 12  -  BATHGATE-LONGTOWN -  BALO12 - ILI FY25 inspection Dig 13 - FY27" u="1"/>
        <s v="P - FEEDER 02 - DOWLAIS TO DYFFRYN CLYDACH 02 - DODY02 - CIPS Remediation - Install new CP System - FY27" u="1"/>
        <s v="P - Feeder 10- ST. FERGUS TO ABERDEEN 10 - Transformer - Transformer Rectifier Replacement" u="1"/>
        <s v="P - EAST - ILI Inspection - P-001 - Baseline - Draw Down" u="1"/>
        <s v="P - WEST - Stopple Removal of Historic Stopples - Draw Down" u="1"/>
        <s v="P -Â WEST - Watercourse crossings defect resolution - Draw Down" u="1"/>
        <s v="P - Feeder 21 - MAWDESLEY TO WARBURTON - MAWA21 - ILI Inspection 1 - FY27" u="1"/>
        <s v="P - Feeder 13 - HADDINGTON-SIMPRIM - HASI13 - ILI Inspection 1 Dig 1 - FY29" u="1"/>
        <s v="P - Feeder 15 - LONGTOWN TO PLUMPTON HEAD - LOPL15 - ILI Inspection 1 - FY28" u="1"/>
        <s v="P - WEST - AC interference PIG tool- to be added to PSSR ILI run - Draw Down" u="1"/>
        <s v="P- LOCATION 09999 - New Recompression Rigs - P-126" u="1"/>
        <s v="P - FEEDER 6 - LIBI06 - LITTLE BURDON TO BILLINGHAM - CIPS Remediation - CIPS Dig - FY28" u="1"/>
        <s v="P - FEEDER 10 - COTH10 - COLDSTREAM TO THRUNTON - CIPS Remediation - CIPS Dig - FY28" u="1"/>
        <s v="P - Feeder 7 - PANNAL TO CAWOOD 7 - Transformer - Transformer Rectifier Replacement" u="1"/>
        <s v="P - NORTH - OLI/4 (Pipeline PSSR Inspection) - Draw Down" u="1"/>
        <s v="P - WEST - PIG Trap PSSR Major Inspection - Draw Down" u="1"/>
        <s v="P - EAST - CIPS for Capital Refurbishment - Draw Down" u="1"/>
        <s v="P - NORTH - CIPS for Capital Refurbishment - Draw Down" u="1"/>
        <s v="P - WEST - CIPS for Capital Refurbishment - Draw Down" u="1"/>
        <s v="P - NORTH - Cathodic Protection - AC Mitigation Survey - Draw Down" u="1"/>
        <s v="P - WEST - Cathodic Protection - AC Mitigation Survey - Draw Down" u="1"/>
        <s v="P - EAST - CIPS Remediation - Install new CP system/system Item - Draw Down" u="1"/>
        <s v="P - FEEDER 12 - ABKI12 - ABERDEEN TO KIRRIEMUIR 12 - CIPS Remediation - CIPS Dig - FY28" u="1"/>
        <s v="P - FEEDER 07 - MICHELMERSH TO BRAISHFIELD OFFTAKE - MIBR07 - HIPF pre-FEED study - FY31" u="1"/>
        <s v="P - FEEDER 11 - SAMLESBURY TO BLACKROD - SABL11 - HIPF pre-FEED study - FY29" u="1"/>
        <s v="P - FEEDER 03 - WHITWELL TO PETERS GREEN - WHPE03 - HIPF pre-FEED study - FY31" u="1"/>
        <s v="P - Feeder 01 - SKITTER TO THORNTON CURTIS DECOMM'D - SKTH01 - Aerial Marker Post Replacement - FY27" u="1"/>
        <s v="P - Feeder 01 - SKITTER TO THORNTON CURTIS DECOMM'D - SKTH01 - Aerial Marker Post Replacement - FY30" u="1"/>
        <s v="P - Feeder 05 - ISLE OF GRAIN TO MEDWAY - ISME05 - Aerial Marker Post Replacement - FY27" u="1"/>
        <s v="P - Feeder 05 - ISLE OF GRAIN TO MEDWAY - ISME05 - Aerial Marker Post Replacement - FY30" u="1"/>
        <s v="P - Feeder 04 - SADDLEBOW TO KINGS LYNN PS - SAKI04 - Aerial Marker Post Replacement - FY30" u="1"/>
        <s v="P - Feeder 03 - WHITWELL TO PETERS GREEN - WHPE03 - Aerial Marker Post Replacement - FY27" u="1"/>
        <s v="P - Feeder 03 - WHITWELL TO PETERS GREEN - WHPE03 - Aerial Marker Post Replacement - FY28" u="1"/>
        <s v="P - Feeder 03 - WHITWELL TO PETERS GREEN - WHPE03 - Aerial Marker Post Replacement - FY30" u="1"/>
        <s v="P - Feeder 03 - WHITWELL TO PETERS GREEN - WHPE03 - Aerial Marker Post Replacement - FY31" u="1"/>
        <s v="P - Feeder 12 - BATHGATE TO LONGTOWN 12 - BALO12 - Aerial Marker Post Replacement - FY27" u="1"/>
        <s v="P - Feeder 21 - MICKLE TRAFFORD TO DEESIDE - MIDE21 - Aerial Marker Post Replacement - FY29" u="1"/>
        <s v="P - Feeder 15 - LUPTON TO BRETHERTON - LUBR15 - Aerial Marker Post Replacement - FY31" u="1"/>
        <s v="P - Feeder 26 - HUNTINGDON TO STEPPINGLEY - PIG Trap PSSR Major Defect Resolution" u="1"/>
        <s v="P - Feeder 05 - ISLE OF GRAIN TO MEDWAY - Transformer Rectifier Replacement 1 FY29" u="1"/>
        <s v="P - Feeder 02 - PETERBOROUGH TEE TO EYE - Transformer Rectifier Replacement FY28" u="1"/>
        <s v="P - Feeder 04 - SADDLEBOW TO KINGS LYNN PS - Transformer Rectifier Replacement 1 FY29" u="1"/>
        <s v="P - Feeder 04 - SADDLEBOW TO KINGS LYNN PS - Transformer Rectifier Replacement FY30" u="1"/>
        <s v="P - Feeder 03 - WHITWELL TO PETERS GREEN - Transformer Rectifier Replacement FY27" u="1"/>
        <s v="P - Feeder 03 - WHITWELL TO PETERS GREEN - Transformer Rectifier Replacement FY28" u="1"/>
        <s v="P - Feeder 03 - WHITWELL TO PETERS GREEN - Transformer Rectifier Replacement 1 FY29" u="1"/>
        <s v="Si- Feeder 02 - PETERBOROUGH TEE TO EYE - Repair CP Test Posts - FY27" u="1"/>
        <s v="Si- Feeder 04 - SADDLEBOW TO KINGS LYNN PS - Repair CP Test Posts - FY27" u="1"/>
        <s v="Si- Feeder 04 - SADDLEBOW TO KINGS LYNN PS - Repair CP Test Posts - FY28" u="1"/>
        <s v="Si- Feeder 01 - SKITTER TO THORNTON CURTIS DECOMM'D - Repair CP Test Posts - FY28" u="1"/>
        <s v="Si- Feeder 03 - WHITWELL TO PETERS GREEN - Repair CP Test Posts - FY27" u="1"/>
        <s v="P - Feeder 12 - ABERDEEN TO KIRRIEMUIR 12 - ABKI12 - Nitrogen Sleeve Minor Remediation 2" u="1"/>
        <s v="P - Feeder 12 - ABERDEEN TO KIRRIEMUIR 12 - ABKI12 - Nitrogen Sleeve Minor Remediation 3" u="1"/>
        <s v="P - Feeder 12 - ABERDEEN TO KIRRIEMUIR 12 - ABKI12 - Nitrogen Sleeve Minor Remediation 5" u="1"/>
        <s v="P - Feeder 12 - ABERDEEN TO KIRRIEMUIR 12 - ABKI12 - Nitrogen Sleeve Minor Remediation 6" u="1"/>
        <s v="P - Feeder 12 - ABERDEEN TO KIRRIEMUIR 12 - ABKI12 - Nitrogen Sleeve Minor Remediation 7" u="1"/>
        <s v="P - Feeder 12 - ABERDEEN TO KIRRIEMUIR 12 - ABKI12 - Nitrogen Sleeve Minor Remediation 14" u="1"/>
        <s v="P - Feeder 05 - WHITWELL TO PETERS GREEN - WHPE03 - Nitrogen Sleeve Minor Remediation 1 - FY29" u="1"/>
        <s v="P - Feeder 04 - SADDLEBOW TO KINGS LYNN PS - SAKI04 - Nitrogen Sleeve Minor Remediation 1 - FY29" u="1"/>
        <s v="P - Feeder 05 - ISLE OF GRAIN TO MEDWAY - ISME05 - Nitrogen Sleeve Minor Remediation - FY29" u="1"/>
        <s v="P - Feeder 05 - WHITWELL TO PETERS GREEN - WHPE03 - Nitrogen Sleeve Minor Remediation - FY31" u="1"/>
        <s v="P - Feeder 04 - SADDLEBOW TO KINGS LYNN PS - SAKI04 - Nitrogen Sleeve Minor Remediation - FY31" u="1"/>
        <s v="P - Feeder 02 - PETERBOROUGH TEE TO EYE - Transformer Rectifier Replacement 2 FY30" u="1"/>
        <s v="P - Feeder 02 - PETERBOROUGH TEE TO EYE - Transformer Rectifier Replacement 2 FY31" u="1"/>
        <s v="P - Feeder 01 - SKITTER TO THORNTON CURTIS DECOMM'D - Transformer Rectifier Replacement 2 FY29" u="1"/>
        <s v="P - Feeder 12 - ABERDEEN TO KIRRIEMUIR 12 - ABKI12 - Nitrogen Sleeve Minor Remediation 2 - FY27" u="1"/>
        <s v="P - Feeder 12 - ABERDEEN TO KIRRIEMUIR 12 - ABKI12 - Nitrogen Sleeve Minor Remediation 3 - FY27" u="1"/>
        <s v="P - Feeder 05 - ISLE OF GRAIN TO MEDWAY - ISME05 - Easement Reinstatement (Scrub) - FY27" u="1"/>
        <s v="P - Feeder 05 - ISLE OF GRAIN TO MEDWAY - ISME05 - Easement Reinstatement (Scrub) - FY30" u="1"/>
        <s v="P - Feeder 02 - PETERBOROUGH TEE TO EYE - PEEY02 - Easement Reinstatement (Scrub) - FY27" u="1"/>
        <s v="P - Feeder 02 - PETERBOROUGH TEE TO EYE - PEEY02 - Easement Reinstatement (Scrub) - FY31" u="1"/>
        <s v="P - Feeder 04 - SADDLEBOW TO KINGS LYNN PS - SAKI04 - Easement Reinstatement (Scrub) - FY27" u="1"/>
        <s v="P - Feeder 01 - SKITTER TO THORNTON CURTIS DECOMM'D - SKTH01 - Easement Reinstatement (Scrub) - FY31" u="1"/>
        <s v="P - Feeder 03 - WHITWELL TO PETERS GREEN - WHPE03 - Easement Reinstatement (Scrub) - FY27" u="1"/>
        <s v="P - Feeder 07 - BARTON STACEY TO MAPPOWDER - BAMA07 - Easement Reinstatement (Scrub) - FY27" u="1"/>
        <s v="P - Feeder 05 - ISLE OF GRAIN TO MEDWAY - ISME05 - Easement Reinstatement (Tree) - FY29" u="1"/>
        <s v="P - Feeder 02 - PETERBOROUGH TEE TO EYE - PEEY02 - Easement Reinstatement (Tree) - FY31" u="1"/>
        <s v="P - Feeder 04 - SADDLEBOW TO KINGS LYNN PS - SAKI04 - Easement Reinstatement (Tree) - FY27" u="1"/>
        <s v="P - Feeder 04 - SADDLEBOW TO KINGS LYNN PS - SAKI04 - Easement Reinstatement (Tree) - FY31" u="1"/>
        <s v="P - Feeder 01 - SKITTER TO THORNTON CURTIS DECOMM'D - SKTH01 - Easement Reinstatement (Tree) - FY31" u="1"/>
        <s v="P - Feeder 03 - WHITWELL TO PETERS GREEN - WHPE03 - Easement Reinstatement (Tree) - FY29" u="1"/>
        <s v="P - Feeder 04 - WARBURTON TO AUDLEY 04 - WAAU04 - Easement Reinstatement (Tree) - FY27" u="1"/>
        <s v="P - Feeder 15 - LUPTON TO BRETHERTON - LUBR15 - Easement Reinstatement (Tree) - FY27" u="1"/>
        <s v="P- LOCATION 09999 - SCO2t Feed - P-125" u="1"/>
        <s v="P-AUSTREY TO SHUSTOKE-Nitrogen Sleeve - Grouting-P-045" u="1"/>
        <s v="P-OLD WARDEN TO CHALGROVE-Nitrogen Sleeve - Grouting-P-045" u="1"/>
        <s v="PA - Cyber-Meter/Analysers/Telemetry - Se-4 - 7215-ST-24-33" u="1"/>
        <s v="PA - Valves - Si-144 - 1530-SS-53-6" u="1"/>
        <s v="PA - Valves - Si-144 - 1234-SS-53-13" u="1"/>
        <s v="PA - Valves - Si-144 - 6021-SS-53-67" u="1"/>
        <s v="PA - Valves - Si-144 - 1424-SS-53-5" u="1"/>
        <s v="PA - Valves - Si-144 - 1739-SS-53-21" u="1"/>
        <s v="PA - Valves - Si-144 - 1234-SS-53-12" u="1"/>
        <s v="PA - Access and Buildings - Si-130 - 8157-SS-41-1" u="1"/>
        <s v="PA - Access and Buildings - Si-131 - 2826-SS-41-1" u="1"/>
        <s v="Si - CHURCHOVER COMPRESSOR STATION - Power Transformers - Install DG Analyser" u="1"/>
        <s v="Si - WOOLER COMPRESSOR STATION - Power Transformers - Step Down Transformer Replacement 11/33Kv" u="1"/>
        <s v="Si - WORMINGTON COMPRESSOR STATION - Power Transformers - Converter Transformer Coating Replacement" u="1"/>
        <s v="Si - WORMINGTON COMPRESSOR STATION - Power Transformers - Install DG Analyser" u="1"/>
        <s v="Si-AVONBRIDGE COMPRESSOR STATION-Station 2 400v AC UPS unit D-Replace AC UPS (Large) - Compressor Station" u="1"/>
        <s v="Si-AYLESBURY COMPRESSOR STATION-110v emergency power  battery charger -Replace DC UPS (Large) - Compressor Station" u="1"/>
        <s v="Si-AYLESBURY COMPRESSOR STATION-Standby power system  AC UPS -Replace AC UPS (Large) - Compressor Station" u="1"/>
        <s v="Si-BISHOP AUCKLAND COMPRESSOR STATION-110v emergency power battery charger -Replace DC UPS (Large) - Compressor Station" u="1"/>
        <s v="Si-BISHOP AUCKLAND COMPRESSOR STATION-Standby power system  AC UPS A unit control -Replace AC UPS (Large) - Compressor Station" u="1"/>
        <s v="Si-DISS COMPRESSOR STATION-Standby power system  110v DC emergency power -Replace DC UPS (Large) - Compressor Station" u="1"/>
        <s v="Si-DISS COMPRESSOR STATION-Standby power system  24v DC C&amp;I  - -Replace DC UPS (Large) - Compressor Station" u="1"/>
        <s v="Si-DISS COMPRESSOR STATION-Standby power system  24v DC F&amp;G  - -Replace DC UPS (Large) - Compressor Station" u="1"/>
        <s v="Si-DISS COMPRESSOR STATION-Standby power system station  AC UPS-Replace DC UPS (Large) - Compressor Station" u="1"/>
        <s v="Si-FELINDRE COMPRESSOR STATION-A unit UPS - Lube oil system 2-Replace DC UPS (Large) - Compressor Station" u="1"/>
        <s v="Si-FELINDRE COMPRESSOR STATION-B unit 110v - Lube oil battery charger-Replace DC UPS (Large) - Compressor Station" u="1"/>
        <s v="Si-HUNTINGDON COMPRESSOR STATION-Standby power system  AC UPS -Replace AC UPS (Large) - Compressor Station" u="1"/>
        <s v="Si-LOCKERLEY COMPRESSOR STATION-Standby power systems Units A&amp;B DFC UPS-Replace AC UPS (Large) - Compressor Station" u="1"/>
        <s v="Si-LOCKERLEY COMPRESSOR STATION-Standby power systems Units A&amp;B UPS-Replace AC UPS (Large) - Compressor Station" u="1"/>
        <s v="Si-WOOLER COMPRESSOR STATION-B unit 110v battery -Replace Batteries (VRLA) (Large)" u="1"/>
        <s v="Si-WORMINGTON COMPRESSOR STATION-C unit 110v battery-Replace Batteries (VRLA) (Large)" u="1"/>
        <s v="Si-Aberdeen CS-Standby Generator-Control System Replacement" u="1"/>
        <s v="Si-Alrewas CS-Standby Generator-Link box replacement" u="1"/>
        <s v="Si-Carnforth CS-Standby Generator-Control System Replacement" u="1"/>
        <s v="Si-Nether Kellet CS-Standby Generator-Battery charger replacement, including battery replacement" u="1"/>
        <s v="Si-Wooler CS-Standby Generator-Control System Replacement" u="1"/>
        <s v="Si-Wooler CS-Standby Generator-New load bank installation including switchgear modification" u="1"/>
        <s v="Si -ABERDEEN - Telemetry DC UPS - Replace DC UPS (Small) - AGIs" u="1"/>
        <s v="Si -ALREWAS M/J - Telemetry DC UPS - Replace DC UPS (Small) - AGIs" u="1"/>
        <s v="Si -AUDLEY - Gas Quality - EGMP2 AC UPS - Replace AC UPS (Large)" u="1"/>
        <s v="Si -BARRINGTON - Telemetry DC UPS - Replace DC UPS (Small) - AGIs" u="1"/>
        <s v="Si -BARROW - Telemetry DC UPS - Replace DC UPS (Small) - AGIs" u="1"/>
        <s v="Si -BILLINGHAM ICI - Telemetry DC UPS - Replace DC UPS (Small) - AGIs" u="1"/>
        <s v="Si -BRIDGE FARM - Telemetry DC UPS - Replace Batteries (VRLA) (Small)" u="1"/>
        <s v="Si -BRIGG PS - Telemetry DC UPS - Replace DC UPS (Small) - AGIs" u="1"/>
        <s v="Si -BURSCOUGH - Telemetry DC UPS - Replace DC UPS (Small) - AGIs" u="1"/>
        <s v="Si -EAST ILSLEY - Telemetry DC UPS - Replace DC UPS (Small) - AGIs" u="1"/>
        <s v="Si -ELVANFOOT - Telemetry DC UPS - Replace DC UPS (Small) - AGIs" u="1"/>
        <s v="Si -FORDOUN - Telemetry DC UPS - Replace Batteries (VRLA) (Small)" u="1"/>
        <s v="Si -GRAVESEND THAMES STH - Gas Quality /  Telemety AC UPS - Replace AC UPS (Small)" u="1"/>
        <s v="Si -HOLLINSGREEN - Telemetry DC UPS - Replace DC UPS (Small) - AGIs" u="1"/>
        <s v="Si -KEADBY PS - Metering AC UPS - Replace AC UPS (Small)" u="1"/>
        <s v="Si -KINGS LYNN PS - Metering AC UPS - Replace AC UPS (Small)" u="1"/>
        <s v="Si -KINGS LYNN PS - Telemetry DC UPS - Replace DC UPS (Small) - AGIs" u="1"/>
        <s v="Si -KIRRIEMUIR - Telemetry DC UPS - Replace DC UPS (Small) - AGIs" u="1"/>
        <s v="Si -LITTLE BARFORD PS - Telemetry DC UPS - Replace DC UPS (Small) - AGIs" u="1"/>
        <s v="Si -LOCKERLEY COMP TEE - Telemetry DC UPS - Replace DC UPS (Small) - AGIs" u="1"/>
        <s v="Si -LONGTOWN - Telemetry DC UPS - Replace DC UPS (Small) - AGIs" u="1"/>
        <s v="Si -MEDWAY PS - Metering AC UPS - Replace AC UPS (Small)" u="1"/>
        <s v="Si -MOFFAT - Metering / Telemetry AC UPS - Replace AC UPS (Small)" u="1"/>
        <s v="Si -NEWBOLD PACEY - Telemetry DC UPS - Replace DC UPS (Small) - AGIs" u="1"/>
        <s v="Si -NEWTON NOYES - Gas Quality DC UPS - Replace DC UPS (Small) - AGIs" u="1"/>
        <s v="Si -NUFFIELD - Telemetry DC UPS - Replace Batteries (VRLA) (Small)" u="1"/>
        <s v="Si -PAULL - Metering / Gas Quality - FWACV AC UPS - Replace AC UPS (Small)" u="1"/>
        <s v="Si -PETERBOROUGH PS - Telemetry DC UPS - Replace DC UPS (Small) - AGIs" u="1"/>
        <s v="Si -PETERBOROUGH TEE - Telemetry DC UPS - Replace DC UPS (Small) - AGIs" u="1"/>
        <s v="Si -ROXWELL - Flow Control AC UPS - Replace AC UPS (Small)" u="1"/>
        <s v="Si -ROXWELL - Telemetry DC UPS - Replace DC UPS (Small) - AGIs" u="1"/>
        <s v="Si -SHOCKLACH - Telemetry DC UPS - Replace DC UPS (Small) - AGIs" u="1"/>
        <s v="Si -ST. FERGUS M/J - Telemetry DC UPS - Replace DC UPS (Small) - AGIs" u="1"/>
        <s v="Si -ST. NEOTS - Telemetry DC UPS - Replace DC UPS (Small) - AGIs" u="1"/>
        <s v="Si -STALLINGBOROUGH - Metering  AC UPS - Replace AC UPS (Large)" u="1"/>
        <s v="Si -STAPLEFORD TAWNEY - Telemetry DC UPS - Replace DC UPS (Small) - AGIs" u="1"/>
        <s v="Si -TEESSIDE TERMINAL (CATS) - Gas Quality - EGMP1 AC UPS - Replace Batteries (VRLA) (Small)" u="1"/>
        <s v="Si -THORNTON CURTIS 'B' &amp; 'C' - Metering  AC UPS - Replace AC UPS (Small)" u="1"/>
        <s v="Si -THORNTON CURTIS 'B' &amp; 'C' - Telemetry DC UPS - Replace DC UPS (Small) - AGIs" u="1"/>
        <s v="Si -TREALES - Telemetry DC UPS - Replace DC UPS (Small) - AGIs" u="1"/>
        <s v="Si -TYDD ST. GILES - Telemetry DC UPS - Replace DC UPS (Small) - AGIs" u="1"/>
        <s v="Si - CENTRAX OT - Regulators - Fuel Gas/Domestic Gas Supply Pressure Regulator Skid Replacement" u="1"/>
        <s v="Si - MEDWAY POWER - Regulators - Fuel Gas/Domestic Gas Supply Pressure Regulator Skid Replacement" u="1"/>
        <s v="Si - Stallingbor1PS - Regulators - Replace Regulator Stream (Single) - 2" u="1"/>
        <s v="Si - Stallingbor2PS - Regulators - Replace Regulator Stream (Single) - 3" u="1"/>
        <s v="Si - LOCKERLEY COMPRESSOR STATION - Power Transformers - Incomer A - Install DG Analyser" u="1"/>
        <s v="Si - LOCKERLEY COMPRESSOR STATION - Power Transformers - Incomer A - Step Down Transformer Replacement 132Kv" u="1"/>
        <s v="Si - WORMINGTON COMPRESSOR STATION - Standby Generators - Battery Replacement - Wormington Standby Generator" u="1"/>
        <s v="Si - ALREWAS COMPRESSOR STATION - Switchgear - Main LV Switchboard - Replacement of LV Switchgear Installation" u="1"/>
        <s v="Si - ALREWAS COMPRESSOR STATION - Switchgear - Unit A MCC - Replacement of LV Switchgear Installation" u="1"/>
        <s v="SI - Aylesbury - Switchgear - Replacement of LV Switchgear Installation - AC MCC C1201A" u="1"/>
        <s v="SI - Aylesbury - Switchgear - Replacement of LV Switchgear Installation - AC MCC C1201B" u="1"/>
        <s v="SI - Bishop Auckand - Switchgear - Replacement of LV Switchgear Installation - Transformer Circuit Breaker" u="1"/>
        <s v="SI - Peterborough - Switchgear - Replacement of LV Switchgear Installation - Unit A 110V DC Auxilliary Board" u="1"/>
        <s v="SI - Wormington - Switchgear - Replacement of LV Switchgear Installation - Unit A 110 VDC MCC" u="1"/>
        <s v="Si - BRIGG POWER STATION - Boilers - Replace Modular Boiler Package" u="1"/>
        <s v="Si - CAMBRIDGE COMPRESSOR STATION - Boilers - Replace Modular Boiler Package" u="1"/>
        <s v="Si - CHELMSFORD COMPRESSOR STATION   - Boilers - Replace Modular Boiler Package" u="1"/>
        <s v="Si - SELLAFIELD POWER STATION - Boilers - Replace Modular Boiler Package" u="1"/>
        <s v="Si - SAPPERTON - Regulators - Replace Regulator Stream (Single) - 2" u="1"/>
        <s v="Si - HATTON - Regulators - Replace FCV Stream (Single) FCV1" u="1"/>
        <s v="Si - HATTON - Regulators - Replace FCV Stream (Single) FCV2" u="1"/>
        <s v="Si - BATHGATE - Regulators - Replace Regulator Stream PCV/FCV (Single).  FCV/PCV1" u="1"/>
        <s v="Si - WOOLER - Regulators - Replace Regulator Stream PCV/FCV (Single).  FCV/PCV1" u="1"/>
        <s v="Si - WOOLER - Regulators - Replace Regulator Stream PCV/FCV (Single).  FCV/PCV2" u="1"/>
        <s v="Si - BISHOP AUCKLAND - Regulators - Replace FCV Stream (Single) FCV1" u="1"/>
        <s v="Si - LONGTOWN - Regulators - Replace FCV Stream (Single) FCV3" u="1"/>
        <s v="Si - STALLINGBOROUGH - Heat Exchangers - BURSTING DISK BD3 - PSSR ES/14/02 BURSTING DISC PROT REPLACEMENT" u="1"/>
        <s v="Si - STALLINGBOROUGH - Heat Exchangers - BURSTING DISK BD4 - PSSR ES/14/02 BURSTING DISC PROT REPLACEMENT" u="1"/>
        <s v="Si - PETERBOROUGH POWER STATION - Heat Exchangers - BURSTING DISK (QTY 2) - PSSR ES/14/02 BURSTING DISC PROT REPLACEMENT" u="1"/>
        <s v="Si - CAMBRIDGE COMPRESSOR STATION - Heat Exchangers - BURSTING DISCS - PSSR ES/14/02 BURSTING DISC PROT REPLACEMENT" u="1"/>
        <s v="Si - MEDWAY POWER - Heat Exchangers - BURSTING DISCS - PSSR ES/14/02 BURSTING DISC PROT REPLACEMENT" u="1"/>
        <s v="Si - SELLAFIELD POWER STATION - Heat Exchangers - BURSTING DISC BD1 - PSSR ES/14/02 BURSTING DISC PROT REPLACEMENT" u="1"/>
        <s v="Si - SELLAFIELD POWER STATION - Heat Exchangers - BURSTING DISC BD3 - PSSR ES/14/02 BURSTING DISC PROT REPLACEMENT" u="1"/>
        <s v="Si - DIDCOT POWER STATION - Heat Exchangers - BURSTING DISCS BD1 - PSSR ES/14/02 BURSTING DISC PROT REPLACEMENT" u="1"/>
        <s v="Si - DIDCOT POWER STATION - Heat Exchangers - BURSTING DISCS BD3 - PSSR ES/14/02 BURSTING DISC PROT REPLACEMENT" u="1"/>
        <s v="Si - DIDCOT POWER STATION - Heat Exchangers - BURSTING DISCS BD4 - PSSR ES/14/02 BURSTING DISC PROT REPLACEMENT" u="1"/>
        <s v="Si - CHURCHOVER MULTIJUNCTION - Site Earthing &amp; Lightning - Refurb of Earthing &amp; Lightning Protection Systems (Large Site)" u="1"/>
        <s v="Si - GRAYINGHAM - Site Earthing &amp; Lightning - Refurbishment of Earthing &amp; Lightning Protection Systems (Small Site)" u="1"/>
        <s v="Si - CHALGROVE - Site Earthing &amp; Lightning - Refurbishment of Earthing &amp; Lightning Protection Systems (Large Site)" u="1"/>
        <s v="Si - ST. NEOTS - Site Earthing &amp; Lightning - Refurbishment of Earthing &amp; Lightning Protection Systems (Large Site)" u="1"/>
        <s v="Si - MEDWAY POWER - Site Earthing &amp; Lightning - Refurb of Earthing &amp; Lightning Protection Sys (Small Site)" u="1"/>
        <s v="Si - TEESSIDE - Site Earthing &amp; Lightning - Refurbishment of Earthing &amp; Lightning Protection Systems (Large Site)" u="1"/>
        <s v="Si - ABSON - Site Earthing &amp; Lightning - Refurbishment of Earthing &amp; Lightning Protection Systems (Small Site)" u="1"/>
        <s v="Si - EPPING GREEN - Site Earthing &amp; Lightning - Refurbishment of Earthing &amp; Lightning Protection Systems (Small Site)" u="1"/>
        <s v="Si - EASINGTON - Site Earthing &amp; Lightning - Refurbishment of Earthing &amp; Lightning Protection Systems (Large Site)" u="1"/>
        <s v="Si - AUDLEY - Site Earthing &amp; Lightning - Refurbishment of Earthing &amp; Lightning Protection Systems (Large Site)" u="1"/>
        <s v="Si - DISS COMPRESSOR TEE - Site Earthing &amp; Lightning - Refurbishment of Earthing &amp; Lightning Protection Systems (Large Site)" u="1"/>
        <s v="Si - GLENMAVIS - Site Earthing &amp; Lightning - Refurbishment of Earthing &amp; Lightning Protection Systems (Small Site)" u="1"/>
        <s v="Si - FORDOUN - Site Earthing &amp; Lightning - Refurbishment of Earthing &amp; Lightning Protection Systems (Small Site)" u="1"/>
        <s v="Si - ROXWELL - Site Earthing &amp; Lightning - Refurbishment of Earthing &amp; Lightning Protection Systems (Large Site)" u="1"/>
        <s v="Si - SHOCKLACH - Site Earthing &amp; Lightning - Refurbishment of Earthing &amp; Lightning Protection Systems (Large Site)" u="1"/>
        <s v="Si - BATHGATE - Site Earthing &amp; Lightning - Refurbishment of Earthing &amp; Lightning Protection Systems (Small Site)" u="1"/>
        <s v="Si - LUPTON MULTIJUNCTION - Site Earthing &amp; Lightning - Refurbishment of Earthing &amp; Lightning Protection Systems (Large Site)" u="1"/>
        <s v="Si - CHURCHOVER COMP TEE - Small Power - AGI LV Distribution Major Refurb" u="1"/>
        <s v="Si - AUDLEY - Small Power - AGI LV Distribution Major Refurb" u="1"/>
        <s v="SI - CHURCHOVER COMPRESSOR STATION - Switchgear - Replacement of electronic protection relays - 1" u="1"/>
        <s v="SI - FELINDRE COMPRESSOR STATION - Switchgear - Replacement of electronic protection relays - 2" u="1"/>
        <s v="SI - HATTON COMPRESSOR STATION - Switchgear - Replacement of electronic protection relays - 2" u="1"/>
        <s v="SI - WORMINGTON COMPRESSOR STATION - Switchgear - Replacement of electronic protection relays - 1" u="1"/>
        <s v="Si-LOCATION 09999 TERMINAL-Filters-NT1211A2TP-A2B-FILTER PSSR ES/94/15 - 2 MAJOR" u="1"/>
        <s v="Si-BILLINGHAM ICI-Filters-NT5117FSS4-5117D-FILTER PSSR ES/94/15 - 2 MAJOR" u="1"/>
        <s v="Si-CHELMSFORD COMPRESSOR STATION-Filters-NT7230STPR-F101A-FILTER PSSR ES/94/15 - 2 MAJOR" u="1"/>
        <s v="Si-CHELMSFORD COMPRESSOR STATION-Filters-NT7230STPR-F101B-FILTER PSSR ES/94/15 - 2 MAJOR" u="1"/>
        <s v="Si-HATTON COMPRESSOR STATION-Filters-NT7270STPR-F501B-FILTER PSSR ES/94/15 - 2 MAJOR" u="1"/>
        <s v="Si-HATTON COMPRESSOR STATION-Filters-NT7270UAFU-F505A-FILTER PSSR ES/94/15 - 2 MAJOR" u="1"/>
        <s v="Si-HATTON COMPRESSOR STATION-Filters-NT7270UBFU-F506A-FILTER PSSR ES/94/15 - 2 MAJOR" u="1"/>
        <s v="Si-HATTON COMPRESSOR STATION-Filters-NT7270UCFU-F507A-FILTER PSSR ES/94/15 - 2 MAJOR" u="1"/>
        <s v="Si-HUNTINGDON COMPRESSOR STATION-Filters-NT7205STPR-F502B-FILTER PSSR ES/94/15 - 2 MAJOR" u="1"/>
        <s v="Si-KINGS LYNN COMPRESSOR STATION-Filters-NT7210UCFU-SP001-FILTER PSSR ES/94/15 - 2 MAJOR" u="1"/>
        <s v="Si-KINGS LYNN POWER STATION-Filters-NT1424FSS1-1424AFILT-FILTER PSSR ES/94/15 - 2 MAJOR" u="1"/>
        <s v="Si-KINGS LYNN POWER STATION-Filters-NT1424FSS2-1424BFILT-FILTER PSSR ES/94/15 - 2 MAJOR" u="1"/>
        <s v="Si-KIRRIEMUIR COMPRESSOR STATION-Filters-NT7252UAFU-UAF211A-FILTER PSSR ES/94/15 - 2 MAJOR" u="1"/>
        <s v="Si-MEDWAY POWER-Filters-NT2730FSS1-2730AFILT-FILTER PSSR ES/94/15 - 2 MAJOR" u="1"/>
        <s v="Si-MOFFAT OFFTAKE-Filters-NT7040FSS3-7040CFILT-FILTER PSSR ES/94/15 - 2 MAJOR" u="1"/>
        <s v="Si-NETHER KELLET COMPRESSOR STATION-Filters-NT7285UBFU-S102A-FILTER PSSR ES/94/15 - 2 MAJOR" u="1"/>
        <s v="Si-PETERBOROUGH POWER STATION-Filters-NT1230FSS2-1230BFILT-FILTER PSSR ES/94/15 - 2 MAJOR" u="1"/>
        <s v="Si-SELLAFIELD POWER STATION-Filters-NT6608FSS1-6608AFILT-FILTER PSSR ES/94/15 - 2 MAJOR" u="1"/>
        <s v="Si-THORNTON CURTIS B &amp; C-Filters-NT1905FSS3-1905CFILT-FILTER PSSR ES/94/15 - 2 MAJOR" u="1"/>
        <s v="Si-WISBECH COMPRESSOR STATION-Filters-NT7245STPR-F501A-FILTER PSSR ES/94/15 - 2 MAJOR" u="1"/>
        <s v="Si-WOOLER COMPRESSOR STATION-Filters-NT7250STPR-F2302A-FILTER PSSR ES/94/15 - 2 MAJOR" u="1"/>
        <s v="Si-ALREWAS COMPRESSOR STATION-Filters-NT7200STPR-F101-FILTER PSSR ES/94/15 - 2 MAJOR" u="1"/>
        <s v="Si-ABSON-Filters-NT4010FSS2-4010BFILT-FILTER PSSR ES/94/15 - 2 MAJOR" u="1"/>
        <s v="Si-CAMBRIDGE COMPRESSOR STATION-Filters-NT7235UBPR-F103D-FILTER PSSR ES/94/15 - 2 MAJOR" u="1"/>
        <s v="Si-CORBY POWER STATION-Filters-NT1240FSS2-1240BFILT-FILTER PSSR ES/94/15 - 2 MAJOR" u="1"/>
        <s v="Si-CORBY POWER STATION-Filters-NT1240FSS3-1240CFILT-FILTER PSSR ES/94/15 - 2 MAJOR" u="1"/>
        <s v="Si-WISBECH COMPRESSOR STATION-Filters-NT7245UAFU-F202B-FILTER PSSR ES/94/15 - 2 MAJOR" u="1"/>
        <s v="Si-WISBECH COMPRESSOR STATION-Filters-NT7245UBFU-F203B-FILTER PSSR ES/94/15 - 2 MAJOR" u="1"/>
        <s v="Si - LOCATION 09999 TERMINAL - Heat Exchangers -NT1211TEPP-E1302A- ES/14/01 INT SHELL &amp; TUBE INSPECTION - FY28" u="1"/>
        <s v="Si - LOCATION 09999 TERMINAL - Heat Exchangers -NT1211TEPP-E1402A- ES/14/01 INT SHELL &amp; TUBE INSPECTION - FY29" u="1"/>
        <s v="Si - LOCATION 09999 TERMINAL - Heat Exchangers -NT1211TEPP-E1502A- ES/14/01 INT SHELL &amp; TUBE INSPECTION - FY29" u="1"/>
        <s v="Si - LOCATION 09999 TERMINAL - Heat Exchangers -NT1211TEPP-E1702A- ES/14/01 INT SHELL &amp; TUBE INSPECTION - FY29" u="1"/>
        <s v="Si - LOCATION 09999 TERMINAL - Heat Exchangers -NT1211TEPP-E1802A- ES/14/01 INT SHELL &amp; TUBE INSPECTION - FY31" u="1"/>
        <s v="Si - LOCATION 09999 TERMINAL - Heat Exchangers -NT1211TEPP-E1802B- ES/14/01 INT SHELL &amp; TUBE INSPECTION - FY31" u="1"/>
        <s v="Si - KEADBY POWER STATION - Heat Exchangers -NT1757HES3-1757CHEX- ES/94/10.1 - PRESSURE VESSEL A/G - FY27" u="1"/>
        <s v="Si - CORBY POWER STATION - Heat Exchangers -NT1240HPR2-1240D- ES/14/01 INT SHELL &amp; TUBE INSPECTION - FY27" u="1"/>
        <s v="Si - PETERBOROUGH COMPRESSOR STATION - Heat Exchangers -NT7220STPR-H1103- ES/14/01 INT SHELL &amp; TUBE INSPECTION - FY27" u="1"/>
        <s v="Si - RYE HOUSE POWER STATION - Heat Exchangers -NT2816HES3-2816C- ES/94/10.1 - PRESSURE VESSEL A/G - FY28" u="1"/>
        <s v="Si - CHELMSFORD COMPRESSOR STATION - Heat Exchangers -NT7230STPR-E101- ES/14/01 INT SHELL &amp; TUBE INSPECTION - FY30" u="1"/>
        <s v="Si - TREADDOW - Heat Exchangers -NT4622HES2-4622B- ES/14/01 INT SHELL &amp; TUBE INSPECTION - FY29" u="1"/>
        <s v="Si - CENTRAX OT - Heat Exchangers -NT3877HES1-3877AHEX- ES/14/01 INT SHELL &amp; TUBE INSPECTION - FY30" u="1"/>
        <s v="Si - BRIGG POWER STATION - Heat Exchangers -NT1744HES3-1744CHEX- ES/14/01 INT SHELL &amp; TUBE INSPECTION - FY30" u="1"/>
        <s v="Si - STALLINGBOROUGH - Heat Exchangers -NT1908HPR6-1908B- ES/14/01 INT SHELL &amp; TUBE INSPECTION - FY29" u="1"/>
        <s v="Si - CORBY POWER STATION - Heat Exchangers -NT1240HES1-1240AHEX- ES/14/01 INT SHELL &amp; TUBE INSPECTION - FY29" u="1"/>
        <s v="Si - KINGS LYNN POWER STATION - Heat Exchangers -NT1424HPR1-1424A- ES/14/01 INT SHELL &amp; TUBE INSPECTION - FY31" u="1"/>
        <s v="Si - KINGS LYNN POWER STATION - Heat Exchangers -NT1424HES1-1424A- ES/14/01 INT SHELL &amp; TUBE INSPECTION - FY31" u="1"/>
        <s v="Si - RYE HOUSE POWER STATION - Heat Exchangers -NT2816HES1-2816A- ES/14/01 INT SHELL &amp; TUBE INSPECTION - FY30" u="1"/>
        <s v="Si - DIDCOT POWER STATION - Heat Exchangers -NT2034HES2-2304B- ES/14/01 INT SHELL &amp; TUBE INSPECTION - FY30" u="1"/>
        <s v="Si - TIRLEY PRI - Heat Exchangers -NT4629HPR1-4629A- ES/14/01 INT SHELL &amp; TUBE INSPECTION - FY31" u="1"/>
        <s v="Si - TREADDOW - Heat Exchangers -NT4622HES1-4622A- ES/14/01 INT SHELL &amp; TUBE INSPECTION - FY30" u="1"/>
        <s v="Si - WORMINGTON - Regulators - Replace FCV Stream (Single) FCV1" u="1"/>
        <s v="Si - ALREWAS COMPRESSOR STATION - Compressor Distribution Individual Board replacement - DB1" u="1"/>
        <s v="Si - ALREWAS COMPRESSOR STATION - Compressor Distribution Individual Board replacement - MVME2" u="1"/>
        <s v="Si - ALREWAS COMPRESSOR STATION - Compressor Distribution Individual Board replacement - MVME4" u="1"/>
        <s v="Si - ALREWAS COMPRESSOR STATION - Compressor Distribution Individual Board replacement - MVAA6" u="1"/>
        <s v="Si - ALREWAS COMPRESSOR STATION - Compressor Distribution Individual Board replacement - MVBN6" u="1"/>
        <s v="Si - ALREWAS COMPRESSOR STATION - Compressor Distribution Individual Board replacement - D02" u="1"/>
        <s v="Si - ALREWAS COMPRESSOR STATION - Compressor Distribution Individual Board replacement - D03" u="1"/>
        <s v="Si - AYLESBURY COMPRESSOR STATION - Compressor Distribution Individual Board replacement - 01DBISS" u="1"/>
        <s v="Si - AYLESBURY COMPRESSOR STATION - Compressor Distribution Individual Board replacement - FB18" u="1"/>
        <s v="Si - AYLESBURY COMPRESSOR STATION - Compressor Distribution Individual Board replacement - GSBN2" u="1"/>
        <s v="Si - AYLESBURY COMPRESSOR STATION - Compressor Distribution Individual Board replacement - PJB01A" u="1"/>
        <s v="Si - AYLESBURY COMPRESSOR STATION - Compressor Distribution Individual Board replacement - DB101" u="1"/>
        <s v="Si - CHELMSFORD COMPRESSOR STATION - Compressor Distribution Individual Board replacement - DB1" u="1"/>
        <s v="Si - CHELMSFORD COMPRESSOR STATION - Compressor Distribution Individual Board replacement - DB2" u="1"/>
        <s v="Si - CHELMSFORD COMPRESSOR STATION - Compressor Distribution Individual Board replacement - DBPS" u="1"/>
        <s v="Si - CHURCHOVER COMPRESSOR STATION - Compressor Distribution Individual Board replacement - D01" u="1"/>
        <s v="Si - HATTON COMPRESSOR STATION - Compressor Distribution Individual Board replacement - DB27" u="1"/>
        <s v="Si - HATTON COMPRESSOR STATION - Compressor Distribution Individual Board replacement - DB28" u="1"/>
        <s v="Si - HATTON COMPRESSOR STATION - Compressor Distribution Individual Board replacement - DB29" u="1"/>
        <s v="Si - HATTON COMPRESSOR STATION - Compressor Distribution Individual Board replacement - LVS1C1" u="1"/>
        <s v="Si - HATTON COMPRESSOR STATION - Compressor Distribution Individual Board replacement - LVS1E5" u="1"/>
        <s v="Si - HATTON COMPRESSOR STATION - Compressor Distribution Individual Board replacement - LVS1F3" u="1"/>
        <s v="Si - HATTON COMPRESSOR STATION - Compressor Distribution Individual Board replacement - LVS1H5" u="1"/>
        <s v="Si - HATTON COMPRESSOR STATION - Compressor Distribution Individual Board replacement - LVS1K5" u="1"/>
        <s v="Si - KINGS LYNN COMPRESSOR STATION - Compressor Distribution Individual Board replacement - DBAC1" u="1"/>
        <s v="Si - KINGS LYNN COMPRESSOR STATION - Compressor Distribution Individual Board replacement - DBB1" u="1"/>
        <s v="Si - KINGS LYNN COMPRESSOR STATION - Compressor Distribution Individual Board replacement - STNDITBRDCOMMS" u="1"/>
        <s v="Si - WORMINGTON COMPRESSOR STATION - Compressor Distribution Individual Board replacement - GENSPDB" u="1"/>
        <s v="Si - WORMINGTON COMPRESSOR STATION - Compressor Distribution Individual Board replacement - TEMP012" u="1"/>
        <s v="Si - WORMINGTON COMPRESSOR STATION - Compressor Distribution Individual Board replacement - MDL03" u="1"/>
        <s v="Si - WORMINGTON COMPRESSOR STATION - Compressor Distribution Individual Board replacement - MDU02" u="1"/>
        <s v="Si - WORMINGTON COMPRESSOR STATION - Compressor Distribution Individual Board replacement - MDU020" u="1"/>
        <s v="Si - LOCKERLEY COMPRESSOR STATION - Compressor Distribution Individual Board replacement - DBSG1" u="1"/>
        <s v="Si - ARMADALE - Pipework - A/G Pipework - CM/4 Defect Resolution" u="1"/>
        <s v="Si - COSBY - Pipework - A/G Pipework - CM/4 Defect Resolution" u="1"/>
        <s v="Si - DISS COMPRESSOR TEE - Pipework - A/G Pipework - CM/4 Defect Resolution" u="1"/>
        <s v="Si - HORNDON - Pipework - A/G Pipework - CM/4 Defect Resolution" u="1"/>
        <s v="Si - LUTTON - Pipework - A/G Pipework - CM/4 Defect Resolution" u="1"/>
        <s v="Si - ROUGHAM - Pipework - A/G Pipework - CM/4 Defect Resolution" u="1"/>
        <s v="Si - STALLINGBOROUGH - Pipework - A/G Pipework - CM/4 Defect Resolution" u="1"/>
        <s v="Si - STAPLEFORD TAWNEY - Pipework - A/G Pipework - CM/4 Defect Resolution" u="1"/>
        <s v="Si - SUSWORTH TRENT WEST - Pipework - A/G Pipework - CM/4 Defect Resolution" u="1"/>
        <s v="Si - BRIDGE FARM - Pipework - A/G Pipework - CM/4 Defect Resolution" u="1"/>
        <s v="Si - EDINGALE - Pipework - A/G Pipework - CM/4 Defect Resolution" u="1"/>
        <s v="Si - GRASBY BOTTOM - Pipework - A/G Pipework - CM/4 Defect Resolution" u="1"/>
        <s v="Si - WESTON BANK - Pipework - A/G Pipework - CM/4 Defect Resolution" u="1"/>
        <s v="Si - SHELL STAR (KEMIRA) - Kemira Shellstar redundant site decommissioning" u="1"/>
        <s v="Si - TONNA - Tonna redundant site decommissioning" u="1"/>
        <s v="Si - RYE HOUSE POWER STATION - Rye House Redundant FCV Decommissioning" u="1"/>
        <s v="Si - MOFFAT - Moffat Redundant FCV Decommissioning" u="1"/>
        <s v="Si - ALDFIELD - Aldfield Redundant Valve Decommissioning" u="1"/>
        <s v="Si - CHELMSFORD COMPRESSOR STATION- Regulators - Replacement of Multistage Pressure Reduction Skid" u="1"/>
        <s v="Si - WESTON POINT - Regulators - Replace Regulator Stream (Single) -1" u="1"/>
        <s v="Si - BISHOP AUCKLAND COMPRESSOR STATION - Uninterruptible Power Supply - Replace Piller Rotary UPS (Compressors) - Unit A" u="1"/>
        <s v="Si - CARNFORTH COMPRESSOR STATION - Uninterruptible Power Supply - Replace Piller Rotary UPS (Compressors) - Unit C" u="1"/>
        <s v="Si - NETHER KELLET COMPRESSOR STATION - Uninterruptible Power Supply - Replace Piller Rotary UPS (Compressors) - Unit B" u="1"/>
        <s v="Si - KIRRIEMUIR COMPRESSOR STATION - Uninterruptible Power - Replacement of Uninterruptible Motor Drives (UMD) - Unit E" u="1"/>
        <s v="Si - LOCATION 09999 TERMINAL - Pipework - Partial Zone Coating - CM/4 Zone 2" u="1"/>
        <s v="Si - LOCATION 09999 TERMINAL - Pipework - Partial Zone Coating - CM/4 Zone 3" u="1"/>
        <s v="Si - LOCATION 09999 TERMINAL - Pipework - Partial Zone Coating - CM/4 Zone 4" u="1"/>
        <s v="Si - LOCATION 09999 TERMINAL - Roads - Repair Access Road/Path (Tarmac)" u="1"/>
        <s v="Si - LOCATION 09999 TERMINAL - Plinths - Concrete Plinth Repair" u="1"/>
        <s v="Si - LOCATION 09999 TERMINAL - Access - Access Platforms &amp; Stairs Relifing" u="1"/>
        <s v="Si - ABERDEEN COMPRESSOR - 7258-ST-31-1 - IMPULSE PIPEWORK - Valve Replacement  - Defect: 9949" u="1"/>
        <s v="Si - ABERDEEN - 6021-SS-2-59 - ACTUATOR - HYDRAULIC 03 - Actuator Replacement - Defect: 10025" u="1"/>
        <s v="Si - ALREWAS M/J - 8157-SS-37-2 - 1ST STAGE REGULATOR 1 74 - Replace FCV Stream (Single) - Defect: 2763461" u="1"/>
        <s v="Si - ALREWAS M/J - 8157-SS-37-1 - 1ST STAGE REGULATOR 1 70 - Replace FCV Stream (Single) - Defect: 2763551" u="1"/>
        <s v="Si - AVONBRIDGE COMPRESSOR - 7290-ST-35-3 - CONDENSATE TANK EQUIP - Break out of Pit Infrastructure - Defect: 14746" u="1"/>
        <s v="Si - BATHGATE OT - 6055-SS-53-118 - REMOTELY OPERABLE VALVE 9 - Vent &amp; sealant line replacement  - Defect: 10969" u="1"/>
        <s v="Si - HOLBEACH BANK - 1731-SS-32-1 - PIT - Break out of Pit Infrastructure - Defect: 9100" u="1"/>
        <s v="Si - CHURCHOVER COMPRESSOR - 7215-LB-32-9 - PIT03 - Break out of Pit Infrastructure - Defect: 39799" u="1"/>
        <s v="Si - ELVEDEN - 1321-SS-53-3 - NON CRITICAL VALVE 04 - Vent &amp; sealant line replacement  - Defect: 22934" u="1"/>
        <s v="Si - ELVEDEN - 1321-SS-53-1 - NON CRITICAL VALVE 02 - Vent &amp; sealant line replacement  - Defect: 22933" u="1"/>
        <s v="Si - KIRRIEMUIR  COMPRESSOR - 7252-ST-53-109 - DISCHARGE PRESSURE VALVE PV - Sealant Port Adaption - Defect: 5908" u="1"/>
        <s v="Si - MATCHING GREEN - 2815-SS-2-2 - ACTUATOR - GAS HYDRUALIC 7 - Actuator Replacement - Defect: 8344" u="1"/>
        <s v="Si - MUGGLESWICK - 6373-SS-53-2 - NON CRITICAL VALVE 03 - Actuator Replacement - Defect: 21057" u="1"/>
        <s v="Si - MUGGLESWICK - 6373-SS-53-5 - NON CRITICAL VALVE 06 - Actuator Replacement - Defect: 17715" u="1"/>
        <s v="Si - NETHER KELLET COMP. - 7285-ST-47-8 - S'BY GEN CTRL &amp; PROTECTION PANEL TGEN/CZ - Control Sys Replacement - Defect: 21725" u="1"/>
        <s v="Si - PENICUIK -  - FENCING &amp; PLANTING STRIP - New - Concrete Plinth Repair - Defect: 9085" u="1"/>
        <s v="Si - ROSS WM - 3925-SS-53-1 - NON CRITICAL VALVE 11 - Valve Replacement  - Defect: 8439" u="1"/>
        <s v="Si - SHORNE - 2727-SS-52-1 - Steps - Access Platforms &amp; Stairs Relifing - Defect: 6385" u="1"/>
        <s v="Si - STALLINGBOROUGH PS - 1908-SS-53-19 - NON CRITICAL VALVE 18 - Vent &amp; sealant line replacement  - Defect: 11515" u="1"/>
        <s v="Si - STAPLEFORD TAWNEY - 2813-SS-53-5 - NON CRITICAL VALVE 08 - Vent &amp; sealant line replacement  - Defect: 6604" u="1"/>
        <s v="Si - STEPPINGLEY - 2023-SS-52-1 - Road - Repair Site Road/Path (Concrete) inc renew concrete expansion joints - Defect: 13161" u="1"/>
        <s v="Si - TARVES - 6017-SS-42-1 - ACCESS GATE - CHAIN/WIRE MESH INNER VEH - Replace gate and associated furniture - Defect: 19005" u="1"/>
        <s v="Si - THORNTON CURTIS 'A' - 1121-SS-53-4 - NON CRITICAL VALVE 07 - Actuator Replacement - Defect: 11069" u="1"/>
        <s v="Si - THORNTON CURTIS 'B' &amp; 'C' - 1905-SS-52-1 - Access Road - Refurbish Site Road/Path (Tarmac) - Defect: 6524" u="1"/>
        <s v="Si - TYDD ST. GILES - 1727-SS-37-1 - 1ST STAGE REGULATOR STM3 - Replace FCV Stream (Single) - Defect: 2756773" u="1"/>
        <s v="Si - WOODBURY - 3871-SS-29-1 - Pits - Break out of Pit Infrastructure - Defect: 10325" u="1"/>
        <s v="Si - WOOLER - 6357-SS-53-12 - NON CRITICAL VALVE 08 - Valve Replacement  - Defect: 53" u="1"/>
        <s v="Si - MICHELMERSH - Valves - Actuator Replacement - NT2111VNC1-211114ACT" u="1"/>
        <s v="Si - STEPPINGLEY - Valves - Actuator Replacement - NT2023VNC1-202345ACT" u="1"/>
        <s v="Si - ABERDEEN MULTIJUNCTION - Actuator Replacement - NT6021VCR1-602114ACT" u="1"/>
        <s v="Si - ALREWAS MULTIJUNCTION - Actuator Replacement - NT8157ROV1-815730ACT" u="1"/>
        <s v="Si - Bardsey - Sealant Port Adaption - NT1771VNC1-03VNC" u="1"/>
        <s v="Si - BISHOP AUCKLAND - Valve Replacement - NT4841VCR1-484108VLV" u="1"/>
        <s v="Si - BISHOP AUCKLAND - Valve Replacement - NT4841VCR1-484162VLV" u="1"/>
        <s v="SI - CAIRNORRIE - Vent &amp; sealant line replacement  - NT6313VCR1-01VCR" u="1"/>
        <s v="Si - EASTON GREY - Actuator Replacement - NT3829VCR1-382902ACT" u="1"/>
        <s v="Si - Elton - Sealant Port Adaption - NT5111VCR1-511106VLV" u="1"/>
        <s v="Si - GOSBERTON - Sealant Port Adaption - NT1733ROV1-173303VLV" u="1"/>
        <s v="Si - HUNSINGORE - Actuator Replacement - NT5021VCR1-01GHY" u="1"/>
        <s v="Si - HUNTINGDON - Actuator Replacement - NT2017ROV1-201719ACT" u="1"/>
        <s v="Si - HUNTINGDON - Actuator Replacement - NT2017ROV1-201722ACT" u="1"/>
        <s v="Si - KIRRIEMUIR COMPRESSOR STATION - Valve Replacement - NT7252UASP-V2102" u="1"/>
        <s v="Si - LUPTON MULTIJUNCTION - Valve Replacement - NT6611ROV1-661114VLV" u="1"/>
        <s v="Si - MICKLE TRAFFORD - Actuator Replacement - NT4113ROV1-411301ACT- SHAFER HSE Action" u="1"/>
        <s v="Si - PAULL MULTIJUNCTION - Actuator Overhaul - NT1113ROV2-111392ACT" u="1"/>
        <s v="Si - PENICUIK - Stem Seal Replacement - NT4943VNC1-494301VLV" u="1"/>
        <s v="Si - Penicuik - Stem Seal Replacement - NT4943VNC1-494304VLV" u="1"/>
        <s v="Si - PUCKLECHURCH - Actuator Replacement - NT3833ROV1-383309ACT" u="1"/>
        <s v="Si - Simprim - Valve Replacement - NT6353VCR1-635307VLV" u="1"/>
        <s v="Si - WORMINGTON - Valve Replacement - NT3823VNC1-382399VLV" u="1"/>
        <s v="Si - WORMINGTON COMPRESSOR STATION - Valve Replacement - NT7260UBDP-HZV2224" u="1"/>
        <s v="Si - ABERDEEN MULTIJUNCTION - Actuator Replacement - NT6021ROV1-602121ACT" u="1"/>
        <s v="Si - ABERDEEN MULTIJUNCTION - Actuator Replacement - NT6021VCR1-602104ACT" u="1"/>
        <s v="Si - MEDWAY POWER - Actuator Replacement - NT2730VCR1-273013ACT" u="1"/>
        <s v="Si - MEDWAY POWER - Actuator Replacement - NT2730VCR1-273015ACT" u="1"/>
        <s v="Si - MEDWAY POWER - Actuator Replacement - NT2730VCR1-273017ACT" u="1"/>
        <s v="Si - MEDWAY POWER - Actuator Replacement - NT2730VCR1-273019ACT" u="1"/>
        <s v="Si - ABRAM - Sealant Port Adaption - NT4451VCR1-01VCR" u="1"/>
        <s v="Si - CRANK - Sealant Port Adaption - NT4449VCR1-01VCR" u="1"/>
        <s v="Si - DOLPHINHOLME - Sealant Port Adaption - NT4353VCR1-01VCR" u="1"/>
        <s v="Si - LONGRIDGE - Sealant Port Adaption - NT4355VCR1-01VCR" u="1"/>
        <s v="Si - Burton Point - Valves - Replace Filter Isolation Valve with Double Block" u="1"/>
        <s v="Si - BISHOP AUCKLAND COMPRESSOR STATION - Standby Generators - Standby Generator Battery Replacement" u="1"/>
        <s v="Si - WORMINGTON COMPRESSOR STATION - Standby Generators - Control System Replacement" u="1"/>
        <s v="Si - KIRRIEMUIR COMPRESSOR STATION - Standby Generators - New Load Bank Installation Including Switchgear Modification" u="1"/>
        <s v="Si - CHURCHOVER COMPRESSOR STATION - Standby Generators - New Load Bank Installation Including Switchgear Modification" u="1"/>
        <s v="Si - FELINDRE COMPRESSOR STATION - Power Transformer - Install Transec Unit - Unit A Converter Trans" u="1"/>
        <s v="Si - KIRRIEMUIR COMPRESSOR STATION - Power Transformer - Install Transec Units - 1 Unit" u="1"/>
        <s v="Si - LOCKERLEY COMPRESSOR STATION - Power Transformer - Install Transec Units - VSD 1 Converter Transformer" u="1"/>
        <s v="Si - LOCKERLEY COMPRESSOR STATION - Power Transformer - Install Transec Units - Station 1B Distribution Transformer" u="1"/>
        <s v="Si - DISS COMPRESSOR STATION - Pits - Break Out Of Pit Infrastructure - Pit 4" u="1"/>
        <s v="Si - KINGS LYNN COMP. TEE - Pits - Break Out Of Pit Infrastructure - Pit 9" u="1"/>
        <s v="Si - MOFFAT - Pits - Break Out Of Pit Infrastructure - Pit 1" u="1"/>
        <s v="Si - ABERDEEN MULTIJUNCTION - Buildings - Building Minor Refurb - 602107" u="1"/>
        <s v="Si - ABERDEEN MULTIJUNCTION - Buildings - Building Minor Refurb - 602115" u="1"/>
        <s v="Si - ABERDULAIS - Pipework - A/G Pipework - CM/4 Defect Resolution" u="1"/>
        <s v="Si - DOWDESWELL - Pipework - A/G Pipework - CM/4 Defect Resolution" u="1"/>
        <s v="Si - EVESHAM - Pipework - A/G Pipework - CM/4 Defect Resolution" u="1"/>
        <s v="Si - GOULCEBY - Pipework - A/G Pipework - CM/4 Defect Resolution" u="1"/>
        <s v="Si - MARTIN - Pipework - A/G Pipework - CM/4 Defect Resolution" u="1"/>
        <s v="Si - BIRCH HEATH - Pipework - A/G Pipework - CM/4 Defect Resolution" u="1"/>
        <s v="Si - MIDDLESTOKE - Pipework - A/G Pipework - CM/4 Defect Resolution" u="1"/>
        <s v="Si - FRANKTON - Pipework - A/G Pipework - CM/4 Defect Resolution" u="1"/>
        <s v="Si - HARDINGHAM - Pipework - A/G Pipework - CM/4 Defect Resolution" u="1"/>
        <s v="Si - HARDWICK - Pipework - A/G Pipework - CM/4 Defect Resolution" u="1"/>
        <s v="Si - LANGHOLM - Pipework - A/G Pipework - CM/4 Defect Resolution" u="1"/>
        <s v="Si - LARBERT - Pipework - A/G Pipework - CM/4 Defect Resolution" u="1"/>
        <s v="Si - ROCKLAND ST. PETER - Pipework - A/G Pipework - CM/4 Defect Resolution" u="1"/>
        <s v="Si - SEABANK POWER II - Pipework - A/G Pipework - CM/4 Defect Resolution" u="1"/>
        <s v="Si - TEESSIDE - BASF- BASF - Teesside (BASF) redundant site decommissioning" u="1"/>
        <s v="Si - HORNDON 'A'- Hordon redundant valves decommissioning" u="1"/>
        <s v="Si - CARNFORTH COMPRESSOR STATION - Valves - Valve Replacement  - NT7256STSP-HZV725602" u="1"/>
        <s v="Si - HATTON - Valves - Actuator Replacement - NT1739VNC2-173901ACT" u="1"/>
        <s v="Si - HATTON - Valves - Actuator Replacement - NT1739VNC2-173940ACT" u="1"/>
        <s v="Si - TREADDOW - Valves - Actuator Replacement - NT4622VCR1-462219ACT" u="1"/>
        <s v="Si - TREADDOW - Valves - Actuator Replacement - NT4622VCR1-462221ACT" u="1"/>
        <s v="Si - TIRLEY PRI - Valves - Actuator Replacement - NT4629VNC1-462916ACT" u="1"/>
        <s v="Si - TIRLEY PRI - Valves - Actuator Replacement - NT4629VNC1-462917ACT" u="1"/>
        <s v="Si - TIRLEY PRI - Valves - Actuator Replacement - NT4629VNC1-462918ACT" u="1"/>
        <s v="Si - TIRLEY PRI - Valves - Actuator Replacement - NT4629VNC1-462921ACT" u="1"/>
        <s v="Si - TIRLEY PRI - Valves - Actuator Replacement - NT4629VNC1-462923ACT" u="1"/>
        <s v="Si - TIRLEY PRI - Valves - Actuator Replacement - NT4629ROV1-462938ACT" u="1"/>
        <s v="Si - STEPPINGLEY - Valves - Actuator Replacement - NT2023VNC1-202302ACT" u="1"/>
        <s v="Si - ELVANFOOT - Valves - Actuator Replacement - NT4317VNC1-431706ACT" u="1"/>
        <s v="Si - HATTON COMPRESSOR STATION - Valves - Valve Replacement  - NT7270STSP-HZV1019" u="1"/>
        <s v="Si - HATTON COMPRESSOR STATION - Valves - Valve Replacement  - NT7270STSC-HZV1310" u="1"/>
        <s v="Si - HATTON COMPRESSOR STATION - Valves - Valve Replacement  - NT7270UASP-V2101" u="1"/>
        <s v="Si - NETHER KELLET COMPRESSOR STATION - Valves - Actuator Overhaul  - NT7285STDP-XV001A" u="1"/>
        <s v="Si - NETHER KELLET COMPRESSOR STATION - Valves - Actuator Overhaul  - NT7285STSP-XV003A" u="1"/>
        <s v="Si - Shocklach - Decommission redundant pipe supports &amp; lighting columns" u="1"/>
        <s v="Si - CHELMSFORD COMPRESSOR STATION - Valve Replacement  - NT7230UADP-MV2104" u="1"/>
        <s v="Si - CHELMSFORD COMPRESSOR STATION - Valve Replacement  - NT7230UBDP-MV2204" u="1"/>
        <s v="Si - CHELMSFORD COMPRESSOR STATION - Valve Replacement  - NT7230UARP-MV2105" u="1"/>
        <s v="Si - FELINDRE COMPRESSOR STATION - Actuator Replacement - NT7295UCDP-XZV230025A" u="1"/>
        <s v="Si - FELINDRE COMPRESSOR STATION - Actuator Replacement - NT7295UCSP-XZV230003A" u="1"/>
        <s v="Si - FELINDRE COMPRESSOR STATION - Actuator Replacement - NT7295UAGV-XZV810001A" u="1"/>
        <s v="Si - Little Barningham - Block valve modification after pits have been broken out" u="1"/>
        <s v="Si - Salhouse - Block valve modification after pits have been broken out" u="1"/>
        <s v="Si - SHOCKLACH TO MAELOR - Worthenbury Dee duplicate river crossing decommissioning -" u="1"/>
        <s v="Si - KINGS LYNN COMPRESSOR STATION - Pipework - AGI Inspection Tool Survey - Connection 1 Inspection 1" u="1"/>
        <s v="Si - CHELMSFORD COMPRESSOR STATION - Pipework - AGI Inspection Tool Survey - Connection 1 Inspection 1" u="1"/>
        <s v="Si - TYDD ST. GILES - Pipework - AGI Inspection Tool Survey - Connection 1 Inspection 1" u="1"/>
        <s v="Si - PAULL MULTIJUNCTION - Pipework - AGI Inspection Tool Survey - Connection 2 Inspection 1" u="1"/>
        <s v="Si - BATHGATE - Pipework - AGI Inspection Tool Survey - Connection 2 Inspection 1" u="1"/>
        <s v="Si - DISS COMPRESSOR STATION - Pipework - AGI Inspection Tool Survey - Connection 1 Inspection 2" u="1"/>
        <s v="Si - CHELMSFORD COMPRESSOR STATION - Pipework - AGI Inspection Tool Survey - Connection 1 Inspection 2" u="1"/>
        <s v="Si - BISHOP AUCKLAND COMPRESSOR STATION - Pipework - AGI Inspection Tool Survey - Connection 1 Inspection 2" u="1"/>
        <s v="Si - LOCATION 9001 TERMINAL - Pipework - AGI Inspection Tool Survey - Connection 1 Inspection 2" u="1"/>
        <s v="Si - PAULL MULTIJUNCTION - Pipework - AGI Inspection Tool Survey - Connection 1 Inspection 2" u="1"/>
        <s v="Si - KINGS LYNN COMPRESSOR STATION - Pipework - AGI Inspection Tool Survey - Connection 1 Inspection 2" u="1"/>
        <s v="Si - LOCATION 09999 TERMINAL - Pipework - AGI Inspection Tool Survey - Connection 1 Inspection 2" u="1"/>
        <s v="Si - Stallingbor2PS - Fire and Gas Detection - Installation of Building Gas Detection - Boilerhouse" u="1"/>
        <s v="Si - Stallingbor2PS - Fire and Gas Detection - Installation of Building Gas Detection on AGIs - Fuel Gas Skid" u="1"/>
        <s v="Si - Stallingbor2PS - Fire and Gas Detection - Installation of Building Gas Detection on AGIs - Main Process PCV Building" u="1"/>
        <s v="Si - EASINGTON - Valve - HIPPS FEED Study - Easington Langeled Incomer" u="1"/>
        <s v="Si - LOCATION 09999 TERMINAL - Valve - HIPPS FEED Study - RUK Incomer" u="1"/>
        <s v="Si - MURROW - Valve - HIPPS FEED Study - Incomer" u="1"/>
        <s v="Si - HATTON COMPRESSOR STATION - Pressure Vessel - Overpressure protection study and repalcement of relief valve" u="1"/>
        <s v="Si - ALREWAS COMPRESSOR STATION - Pressure Vessel - Overpressure protection study and repalcement of relief valve" u="1"/>
        <s v="Si - CARNFORTH COMPRESSOR STATION - Pressure Vessel - Overpressure protection study and repalcement of relief valve" u="1"/>
        <s v="Si - HUNTINGDON COMPRESSOR STATION - Pressure Vessel - Overpressure protection study" u="1"/>
        <s v="Si - WORMINGTON COMPRESSOR STATION - Pressure Vessel - Overpressure protection study" u="1"/>
        <s v="Si - CHURCHOVER COMPRESSOR STATION - Pressure Vessel - Overpressure protection study" u="1"/>
        <s v="Si - STALLINGBOROUGH - Pressure Vessel - Overpressure protection study and repalcement of relief valve" u="1"/>
        <s v="Si - HATTON - Pressure Vessel - Overpressure protection study and repalcement of relief valve" u="1"/>
        <s v="Si - TEESSIDE - Pressure Vessel - Overpressure protection study and repalcement of relief valve" u="1"/>
        <s v="Si - WISBECH NENE WEST - Pressure Vessel - Overpressure protection study and repalcement of relief valve" u="1"/>
        <s v="Si - ASLACKBY - Pressure Vessel - Overpressure protection study and repalcement of relief valve" u="1"/>
        <s v="Si - BATHGATE - Pressure Vessel - Overpressure protection study and repalcement of relief valve" u="1"/>
        <s v="Si - BONNINGTON - Pressure Vessel - Overpressure protection study and repalcement of relief valve" u="1"/>
        <s v="Si - CARLISLE 'A' - Pressure Vessel - Overpressure protection study and repalcement of relief valve" u="1"/>
        <s v="Si - CHILLINGHAM - Pressure Vessel - Overpressure protection study and repalcement of relief valve" u="1"/>
        <s v="Si - CROOKHAM - Pressure Vessel - Overpressure protection study and repalcement of relief valve" u="1"/>
        <s v="Si - GARVALD - Pressure Vessel - Overpressure protection study and repalcement of relief valve" u="1"/>
        <s v="Si - GULLANE - Pressure Vessel - Overpressure protection study and repalcement of relief valve" u="1"/>
        <s v="Si - HALTON WEST - Pressure Vessel - Overpressure protection study and repalcement of relief valve" u="1"/>
        <s v="Si - LANCHESTER - Pressure Vessel - Overpressure protection study and repalcement of relief valve" u="1"/>
        <s v="Si - LOCKERLEY COMPRESSOR STATION - Pressure Vessel - Overpressure protection study and repalcement of relief valve" u="1"/>
        <s v="Si - MAWDESLEY - Pressure Vessel - Overpressure protection study and repalcement of relief valve" u="1"/>
        <s v="Si - MUGGLESWICK - Pressure Vessel - Overpressure protection study and repalcement of relief valve" u="1"/>
        <s v="Si - NEW WIMPOLE - Pressure Vessel - Overpressure protection study and repalcement of relief valve" u="1"/>
        <s v="Si - OVINGTON - Pressure Vessel - Overpressure protection study and repalcement of relief valve" u="1"/>
        <s v="Si - PETERBOROUGH COMP. TEE - Pressure Vessel - Overpressure protection study and repalcement of relief valve" u="1"/>
        <s v="Si - PIGDON - Pressure Vessel - Overpressure protection study and repalcement of relief valve" u="1"/>
        <s v="Si - POLWARTH - Pressure Vessel - Overpressure protection study and repalcement of relief valve" u="1"/>
        <s v="Si - THORNTON CURTIS B &amp; C - Pressure Vessel - Overpressure protection study and repalcement of relief valve" u="1"/>
        <s v="Si - WESTON BANK - Pressure Vessel - Overpressure protection study and repalcement of relief valve" u="1"/>
        <s v="Si - WESTON POINT - Pressure Vessel - Overpressure protection study and repalcement of relief valve" u="1"/>
        <s v="Si - WHITWELL - Pressure Vessel - Overpressure protection study and repalcement of relief valve" u="1"/>
        <s v="Si - ABBERWICK - Pressure Vessel - Overpressure protection study and repalcement of relief valve" u="1"/>
        <s v="Si - IPSDEN - Pressure Vessel - Overpressure protection study and repalcement of relief valve" u="1"/>
        <s v="Si - LONGTOWN - Pressure Vessel - Overpressure protection study and repalcement of relief valve" u="1"/>
        <s v="Si - CARNFORTH COMPRESSOR STATION - Flood Risk - Temporary flood interventions" u="1"/>
        <s v="Si - KIRRIEMUIR COMPRESSOR STATION - Flood Risk - Temporary flood interventions" u="1"/>
        <s v="Si - LOCATION 9001 TERMINAL - Flood Risk - Temporary flood interventions" u="1"/>
        <s v="Si - WORMINGTON COMPRESSOR STATION - Flood Risk - Temporary flood interventions" u="1"/>
        <s v="Si - AYLESBURY COMPRESSOR STATION - Flood Risk - Temporary flood interventions" u="1"/>
        <s v="Si - BATHGATE COMPRESSOR STATION - Flood Risk - Temporary flood interventions" u="1"/>
        <s v="Si - BISHOP AUCKLAND COMPRESSOR STATION - Flood Risk - Studies for permanent mitigation" u="1"/>
        <s v="Si - CARNFORTH COMPRESSOR STATION - Flood Risk - Studies for permanent mitigation" u="1"/>
        <s v="Si - KIRRIEMUIR COMPRESSOR STATION - Flood Risk - Studies for permanent mitigation" u="1"/>
        <s v="Si - LOCATION 9001 TERMINAL - Flood Risk - Studies for permanent mitigation" u="1"/>
        <s v="Si - AYLESBURY COMPRESSOR STATION - Flood Risk - Studies for permanent mitigation" u="1"/>
        <s v="Si - BATHGATE COMPRESSOR STATION - Flood Risk - Studies for permanent mitigation" u="1"/>
        <s v="Si - CAMBRIDGE COMPRESSOR STATION - Flood Risk - Studies for permanent mitigation" u="1"/>
        <s v="Si - PETERBOROUGH COMPRESSOR STATION - Flood Risk - Studies for permanent mitigation" u="1"/>
        <s v="Si - BARNHEAD - Flood Risk - Studies for permanent mitigation" u="1"/>
        <s v="Si - STUBLACH - Flood Risk - Studies for permanent mitigation" u="1"/>
        <s v="Si - ALREWAS COMPRESSOR STATION -  Temperature Risk - Compressors - Studies and costing for compressor stations and sites." u="1"/>
        <s v="Si - CHELMSFORD COMPRESSOR STATION -  Temperature Risk - Compressors - Studies and costing for compressor stations and sites." u="1"/>
        <s v="Si - KINGS LYNN COMPRESSOR STATION -  Temperature Risk - Compressors - Studies and costing for compressor stations and sites." u="1"/>
        <s v="Si - NETHER KELLET COMPRESSOR STATION -  Temperature Risk - Compressors - Studies" u="1"/>
        <s v="Si - WORMINGTON COMPRESSOR STATION -  Temperature Risk - Compressors - Studies and costing for compressor stations and sites." u="1"/>
        <s v="Si - AVONBRIDGE COMPRESSOR STATION - Pressure Vessels - Replace Fixed Condensate Tank" u="1"/>
        <s v="Si - KINGS LYNN COMPRESSOR STATION - Pressure Vessels - Replace Fixed Condensate Tank" u="1"/>
        <s v="Si - AYLESBURY COMPRESSOR STATION - Cathodic Protection Equipment - CP-Sites-Install Remote Monitor" u="1"/>
        <s v="Si - PENICUIK - Cathodic Protection Equipment - Insulation Joint Intervention - Replace IJ" u="1"/>
        <s v="Si - BARRINGTON AGI - Cathodic Protection Equipment - CP Survey_Rebalance" u="1"/>
        <s v="Si - BILLERICAY - Cathodic Protection Equipment - CP Survey_CIPS defect location(1 defect)" u="1"/>
        <s v="Si - BOON - Cathodic Protection Equipment - CP Survey_Interaction" u="1"/>
        <s v="Si - BRETHERTON - Cathodic Protection Equipment - CP Survey_Interaction" u="1"/>
        <s v="Si - CAMBRIDGE COMPRESSOR STATION - Cathodic Protection Equipment - CP Survey_CIPS defect location(28 defects)" u="1"/>
        <s v="Si - CHOAKFORD - Cathodic Protection Equipment - CP Survey_Rebalance" u="1"/>
        <s v="Si - DISS COMPRESSOR STATION - Cathodic Protection Equipment - CP Survey_CIPS defect location(7 defects)" u="1"/>
        <s v="Si - EAST ILSLEY - Cathodic Protection Equipment - CP Survey_CIPS defect location(3 defects)" u="1"/>
        <s v="Si - FARNINGHAM - Cathodic Protection Equipment - CP Survey_AC Interference" u="1"/>
        <s v="Si - GRAVESEND THAMES SOUTH - Cathodic Protection Equipment - CP Survey_Rebalance" u="1"/>
        <s v="Si - HADDINGTON - Cathodic Protection Equipment - CP Survey_Rebalance" u="1"/>
        <s v="Si - KEADBY POWER STATION - Cathodic Protection Equipment - CP Survey_Rebalance" u="1"/>
        <s v="Si - KINGS LYNN COMPRESSOR STATION - Cathodic Protection Equipment - CP Survey_CIPS defect location(27 defects)" u="1"/>
        <s v="Si - LITTLE BARFORD POWER STATION - Cathodic Protection Equipment - CP Survey_Rebalance" u="1"/>
        <s v="Si - MATCHING GREEN - Cathodic Protection Equipment - CP Survey_Review Test Post" u="1"/>
        <s v="Si - MILWICH - Cathodic Protection Equipment - CP Survey-45457-Interaction across IJ1 and IJ2" u="1"/>
        <s v="Si - MOFFAT COMPRESSOR STATION - Cathodic Protection Equipment - CP Survey_CIPS defect location(33 defects)" u="1"/>
        <s v="Si - NETHER KELLET COMPRESSOR STATION - Cathodic Protection Equipment - CP Survey_CIPS defect location(11 defects)" u="1"/>
        <s v="Si - NUFFIELD - Cathodic Protection Equipment - CP Survey-45468-IJ1 experiences interaction" u="1"/>
        <s v="Si - PENNINGTON - Cathodic Protection Equipment - CP Survey_Interaction" u="1"/>
        <s v="Si - RYE HOUSE POWER STATION - Cathodic Protection Equipment - CP Survey_Rebalance" u="1"/>
        <s v="Si - SALTWICK - Cathodic Protection Equipment - CP Survey_Rebalance" u="1"/>
        <s v="Si - SAMLESBURY - Cathodic Protection Equipment - CP Survey-45488-IJ1 subject to interaction" u="1"/>
        <s v="Si - SILK WILLOUGHBY - Cathodic Protection Equipment - CP Survey_Interaction" u="1"/>
        <s v="Si - STAYTHORPE - Cathodic Protection Equipment - CP Survey_Rebalance" u="1"/>
        <s v="Si - STEPPINGLEY - Cathodic Protection Equipment - CP Survey_CIPS defect location(8 defects)" u="1"/>
        <s v="Si - THORNTON CURTIS 'A' - Cathodic Protection Equipment - CP Survey_AC Interference" u="1"/>
        <s v="Si - TIRLEY PRI - Cathodic Protection Equipment - CP Survey-7259-ISS Interaction" u="1"/>
        <s v="Si - TOWTON - Cathodic Protection Equipment - CP Survey-6005-CIPS profile defects" u="1"/>
        <s v="Si - WISBECH NENE WEST - Cathodic Protection Equipment - CP Survey-36905-ISS Stray current" u="1"/>
        <s v="Si - WOOLER COMPRESSOR STATION - Cathodic Protection Equipment - CP Survey_CIPS defect location(8 defects)" u="1"/>
        <s v="Si - WRAGG MARSH - Cathodic Protection Equipment - CP Survey_Rebalance" u="1"/>
        <s v="Si - SOUTRA - Cathodic Protection Equipment - CP System Replacement_Upgrade" u="1"/>
        <s v="Si - WOOLER COMPRESSOR STATION - Cathodic Protection Equipment - CP System Replacement_Upgrade" u="1"/>
        <s v="Si - KEADBY POWER STATION - Cathodic Protection Equipment - CP Test Post Intervention_Test Post Installation" u="1"/>
        <s v="Si - STEPPINGLEY - Cathodic Protection Equipment - CP Test Post Intervention_Test Post Installation" u="1"/>
        <s v="Si - BURSCOUGH - Valves - Vent &amp; sealant line replacement" u="1"/>
        <s v="Si - BURSCOUGH - Valves - Sealant Port Adaption" u="1"/>
        <s v="Si - Crieff - Small Power - AGI LV Distribution Major Refurb" u="1"/>
        <s v="Si - Elvanfoot - Small Power - AGI LV Distribution Major Refurb" u="1"/>
        <s v="Si - Haddington - Small Power - AGI LV Distribution Major Refurb" u="1"/>
        <s v="Si - PAULL MULTIJUNCTION - Lighting- Column Light - Replace Luminaire and internal column cable RIIO3" u="1"/>
        <s v="Si - Shocklach - Small Power - AGI LV Distribution Major Refurb" u="1"/>
        <s v="Si - Teesside - Small Power - AGI LV Distribution Major Refurb" u="1"/>
        <s v="Si - Warburton - Small Power - AGI LV Distribution Major Refurb" u="1"/>
        <s v="Si - PETERBOROUGH POWER STATION - Regulators - Replace Regulator Stream (Single) - 1" u="1"/>
        <s v="Si-BARRINGTON-Valves-Valve Replacement -Si-146" u="1"/>
        <s v="Si-ELTON-Valves-Valve Replacement -Si-146" u="1"/>
        <s v="Si-CHARLESTOWN-CP Test Post-Repair CP Test Posts-P-034" u="1"/>
        <s v="Si-GULLANE-CP Test Post-Repair CP Test Posts-P-034" u="1"/>
        <s v="Si-STOWMARKET-CP Test Post-Repair CP Test Posts-P-034" u="1"/>
        <s v="Si-WEST WINCH-CP Test Post-Repair CP Test Posts-P-034" u="1"/>
        <s v="Si-SALHOUSE-Roads-Refurbish Site Road/Path (Tarmac)-Si-100" u="1"/>
        <s v="Si-TILBURY THAMES NORTH-Access-Access Relfing-Si-075" u="1"/>
        <s v="Si-ROUDHAM HEATH-Pipe Supports-Replace Steel Pipe Supports-Si-183" u="1"/>
        <s v="Si-PLUMPTON HEAD-Pipe Supports-Replace Steel Pipe Supports-Si-183" u="1"/>
        <s v="Si-ROUDHAM HEATH-Pipe Supports-Replace Concrete Pipe Support with Steel-Si-184" u="1"/>
        <s v="Si-PLUMPTON HEAD-Pipe Supports-Replace Concrete Pipe Support with Steel-Si-184" u="1"/>
        <s v="Si-MOFFAT-Pit Wall-Pit Wall Defect-Si-185" u="1"/>
        <s v="Si-TILBURY THAMES NORTH-Pit Wall-Pit Wall Defect-Si-185" u="1"/>
        <s v="Si-BROADWAY-Pits-Pit Break Out-Si-186" u="1"/>
        <s v="Si-ROUGHAM-Fencing-Replace Fencing-Si-130" u="1"/>
        <s v="Si-CROWLAND-Fencing-Replace Fencing-Si-130" u="1"/>
        <s v="Si-GEDNEY HILL-Fencing-Replace Fencing-Si-130" u="1"/>
        <s v="Si-SIMPRIM-Plinths-Concrete Plinth Repair-Si-229" u="1"/>
        <s v="Si-PUCKLECHURCH-Valves-Sealant Port Adaption-Si-150" u="1"/>
        <s v="Si-ROUGHAM-Pipework-CM/4 Defect Resolution-Si-070" u="1"/>
        <s v="Si-ABSON-Pipework-CM/4 Defect Resolution-Si-070" u="1"/>
        <s v="Si-MOFFAT-Valves-1 x excavation extension and pipe replacement-SI-239" u="1"/>
        <s v="Si-PUCKLECHURCH-Valves-1 x excavation extension and remediation.-SI-240" u="1"/>
        <s v="Si-BRAINTREE-Valves-1 x excavation extension and remediation.-SI-240" u="1"/>
        <s v="Si-ELVEDEN-Valves-2 x excavation extension and pipe replacement-SI-241" u="1"/>
        <s v="Si-BATHGATE-Valves-2 x excavation extension and pipe replacement-SI-241" u="1"/>
        <s v="Si - WEST - Ground Guards - Rodent Protection Ground Guard Installation - Si-129 - Draw Down" u="1"/>
        <s v="Si - WEST - Vibration Rectification? - Si-228 - Draw Down" u="1"/>
        <s v="Si - WEST - LV Distrubution Baord - LV Distribution Asset Replacement - Si-164 - Draw Down" u="1"/>
        <s v="Si - WEST - UPS - UPS &amp; Battery Room Heating/Cooling Enhancement - Si-021 - Draw Down" u="1"/>
        <s v="Si - WEST - Pit Wall - Pit Wall Transition NDT - Si-079 - Draw Down" u="1"/>
        <s v="Si - WEST - Pit - Pit Infrastructure Breakout - Si-186 - Draw Down" u="1"/>
        <s v="Si - WEST - Access - Access Platform &amp; Stairs Relifing - Si-075 - Draw Down" u="1"/>
        <s v="Si - WEST - Ducting - Site Ducting Relifing - Si-196 - Draw Down" u="1"/>
        <s v="Si - WEST - Distrubution Board - LV Distribution Major Refurbishment - Si-175 - Draw Down" u="1"/>
        <s v="Si - WEST - Lighting - Hazardous Area Lighting Luminaire &amp; Cable Replacement - Si-206 - Draw Down" u="1"/>
        <s v="Si - WEST - Plinth - Pipe Support Replacement (Concrete with Steel) - Si-184 - Draw Down" u="1"/>
        <s v="Si - WEST - Electrical Assets - Electrical Asset Health Condition Survey - Si-166 - Draw Down" u="1"/>
        <s v="Si - WEST - Regulator - Pressure Regulator PSSR Remedial - Si-057 - Draw Down" u="1"/>
        <s v="Si - WEST - Valve - Sealant Port Adaptation  - Si-150 - Draw Down" u="1"/>
        <s v="Si - EAST - Ground Guards - Rodent Protection Ground Guard Installation - Si-129 - Draw Down" u="1"/>
        <s v="Si - EAST - Cabling - Electrical Cabling Replacement - Si-040 - Draw Down" u="1"/>
        <s v="Si - EAST - Road - Road/Path (Concrete) Extension - Si-108 - Draw Down" u="1"/>
        <s v="Si - EAST - Fuel Tank - Fuel Tanks &amp; Bunds Asset Monitoring - Si-198 - Draw Down" u="1"/>
        <s v="Si - EAST - Vibration Rectification? - Si-228 - Draw Down" u="1"/>
        <s v="Si - EAST - Plinth - Concrete Plinth Repair - Si-229 - Draw Down" u="1"/>
        <s v="Si - EAST - Tank - Tank Bund Repair/Relife - Si-116 - Draw Down" u="1"/>
        <s v="Si - EAST - Miscellaneous - Electrical Assets Major Refurbishment - Si-160 - Draw Down" u="1"/>
        <s v="Si - EAST - Address Site Subsidence - Si-279 - Draw Down" u="1"/>
        <s v="Si - EAST - LV Distrubution Baord - LV Distribution Asset Replacement - Si-164 - Draw Down" u="1"/>
        <s v="Si - EAST - Road - Site Road/Path Refurbishment (Concrete) - Si-101 - Draw Down" u="1"/>
        <s v="Si - EAST - Gate - Gate &amp; Furniture Replacement - Si-121 - Draw Down" u="1"/>
        <s v="Si - EAST - Distrubution Board - Distribution &amp; Wiring System Replacement - Si-156 - Draw Down" u="1"/>
        <s v="Si - EAST - Pit - Pit Infrastructure Breakout - Si-186 - Draw Down" u="1"/>
        <s v="Si - EAST - Miscellaneous - Electrical Assets Replacement - Si-158 - Draw Down" u="1"/>
        <s v="Si - EAST - Lighting - Column Light, Luminaire &amp; Cable Replacement - Si-205 - Draw Down" u="1"/>
        <s v="Si - EAST - Pipe Support - Steel Pipe Supports Replacement - Si-183 - Draw Down" u="1"/>
        <s v="Si - EAST - Valve - Stabbings Removal &amp; Asset Refurbishment - Si-242 - Draw Down" u="1"/>
        <s v="Si - EAST - Lighting - Hazardous Area Lighting Luminaire &amp; Cable Replacement - Si-206 - Draw Down" u="1"/>
        <s v="Si - EAST - Pit - Pit Wall Transition Defect Remediation - Si-185 - Draw Down" u="1"/>
        <s v="Si - EAST - Electrical Assets - Electrical Asset Health Condition Survey - Si-166 - Draw Down" u="1"/>
        <s v="Si - NORTH - Scrubber - Scrubber Refurbishment - Si-086 - Draw Down" u="1"/>
        <s v="Si - NORTH - Tank - Tank Bund Repair/Relife - Si-116 - Draw Down" u="1"/>
        <s v="Si - NORTH - Miscellaneous - Electrical Assets Major Refurbishment - Si-160 - Draw Down" u="1"/>
        <s v="Si - NORTH - Valve - Vent &amp; Sealant Line Replacement - Si-152 - Draw Down" u="1"/>
        <s v="Si - NORTH - Pit Wall - Pit Wall Transition NDT - Si-079 - Draw Down" u="1"/>
        <s v="Si - NORTH - Pit - Pit Infrastructure Breakout - Si-186 - Draw Down" u="1"/>
        <s v="Si - NORTH - Building - Building Major Refurbishment - Si-118 - Draw Down" u="1"/>
        <s v="Si - NORTH - Pipe Support - Steel Pipe Supports Replacement - Si-183 - Draw Down" u="1"/>
        <s v="Si - NORTH - Ducting - Site Ducting Relifing - Si-196 - Draw Down" u="1"/>
        <s v="Si - NORTH - Building - Non-Hazardous Area Lighting Luminaire &amp; Cable Replacement - Si-207 - Draw Down" u="1"/>
        <s v="Si - NORTH - Distrubution Board - LV Distribution Major Refurbishment - Si-175 - Draw Down" u="1"/>
        <s v="Si - NORTH - Pit - Pit Wall Transition Defect Remediation - Si-185 - Draw Down" u="1"/>
        <s v="Si - NORTH - Drainage - Drainage Assets Repair  - Si-078 - Draw Down" u="1"/>
        <s v="Si - NORTH - Fence - Fence Repair - Si-131 - Draw Down" u="1"/>
        <s v="Si - NORTH - Regulator - Pressure Regulator PSSR Remedial - Si-057 - Draw Down" u="1"/>
        <s v="Si-LOCATION 09999-Power Transformers-Transformer Replacement -Si-286" u="1"/>
        <s v="Si-LOCATION 09999-Site Lighting-Si-288" u="1"/>
        <s v="Si-LOCATION 09999-Uninterruptible Power Supply-Si-290" u="1"/>
        <s v="Si-LOCATION 09999-Valves- Locally Actuated Valve Replacement-Si-292- A1/1" u="1"/>
        <s v="Si-LOCATION 09999-Valves- Locally Actuated Valve Replacement-Si-292-S4/1" u="1"/>
        <s v="Si-LOCATION 09999-Valves- Locally Actuated Valve Replacement-Si-292- S4/3" u="1"/>
        <s v="Si-LOCATION 09999-Valves- Locally Actuated Valve Replacement-Si-292- A2/8A" u="1"/>
        <s v="Si-LOCATION 09999-Valves- Locally Actuated Valve Replacement-Si-292- F3-6" u="1"/>
        <s v="Si-LOCATION 09999-Valves- Locally Actuated Valve Replacement-Si-292- F5-12" u="1"/>
        <s v="Si-LOCATION 09999-Valves- Locally Actuated Valve Replacement-Si-292- F2/7" u="1"/>
        <s v="Si-LOCATION 09999-Valves- Locally Actuated Valve Replacement-Si-292-S1-9A" u="1"/>
        <s v="Si-LOCATION 09999-Valves- Locally Actuated Valve Replacement-Si-292- S4/10A" u="1"/>
        <s v="Si-LOCATION 09999-Valves- Locally Actuated Valve Replacement-Si-292- S3/11A" u="1"/>
        <s v="Si-LOCATION 09999-Valves- Locally Actuated Valve Replacement-Si-292- A2-7A" u="1"/>
        <s v="Si-LOCATION 09999-Valves- Locally Actuated Valve Replacement-Si-292- S3/10C" u="1"/>
        <s v="Si-LOCATION 09999-Valves- Locally Actuated Valve Replacement-Si-292- R5" u="1"/>
        <s v="Si-LOCATION 09999-Valves- Locally Actuated Valve Replacement-Si-292- R6" u="1"/>
        <s v="Si-LOCATION 09999-Small Power-Si-285-Distribution board G" u="1"/>
        <s v="Si-LOCATION 09999-Small Power-Si-285-Distribution board HJ2" u="1"/>
        <s v="Si-LOCATION 09999-Small Power-Si-285-Distribution board K1" u="1"/>
        <s v="Si-LOCATION 09999-Small Power-Si-285-Pump control panel 1" u="1"/>
        <s v="Si-LOCATION 09999-Small Power-Si-285-Pump control panel 2" u="1"/>
        <s v="Si-LOCATION 09999-Small Power-Si-285-T2 extension" u="1"/>
        <s v="Si-LOCATION 09999-Small Power-Si-285-Distribution board DP1" u="1"/>
        <s v="Si-LOCATION 09999-Small Power-Si-285-Distribution board B" u="1"/>
        <s v="Si-LOCATION 09999-Small Power-Si-285-Distribution board P" u="1"/>
        <s v="Si-LOCATION 09999-Small Power-Si-285-Distribution board U" u="1"/>
        <s v="Si-LOCATION 09999-Small Power-Si-285-Distribution board UPS A1" u="1"/>
        <s v="Si-LOCATION 09999-Small Power-Si-285-UPS Distribution board 3" u="1"/>
        <s v="Si- Draft Determination Dummy - West - Si-144 - Actuators - Shafer Only - Draw Down" u="1"/>
        <s v="Si- DD Dummy - East - Si-051 - Replace Regulator Stream (Single) - Draw Down" u="1"/>
        <s v="C - LOCKERLEY COMPRESSOR STATION - Unit A - Power Transformers - Converter Transformer Replacement 11/33Kv" u="1"/>
        <s v="C - LOCKERLEY COMPRESSOR STATION - Unit B - Power Transformers - Converter Transformer Replacement 11/33Kv" u="1"/>
        <s v="Si-LOCKERLEY COMPRESSOR STATION-24v battery-Replace Batteries (Nicad) (Large)" u="1"/>
        <s v="Si - EAST - Replace DC UPS (Large) - Compressor Station - Si-002 - Draw Down" u="1"/>
        <s v="Si-GREAT WILBRAHAM-Access-Platforms and Stairs Relifing-Si-075" u="1"/>
        <s v="Si-TYDD ST. GILES-Access-Platforms and Stairs Relifing-Si-075" u="1"/>
        <s v="Si-CAMBRIDGE Compressor Station-Drainage-Repair Damaged or Broken -Si-078" u="1"/>
        <s v="Si-CARNFORTH Compressor Station-Drainage-Repair Damaged or Broken -Si-078" u="1"/>
        <s v="Si-DENNY-Drainage-Repair Damaged or Broken -Si-078" u="1"/>
        <s v="Si-DISS Compressor Station-Drainage-Repair Damaged or Broken -Si-078" u="1"/>
        <s v="Si-HELSBY-Drainage-Repair Damaged or Broken -Si-078" u="1"/>
        <s v="Si-SADDLEBOW-Drainage-Repair Damaged or Broken -Si-078" u="1"/>
        <s v="Si-TALLINGTON-Drainage-Repair Damaged or Broken -Si-078" u="1"/>
        <s v="Si-TIRLEY PRI-Drainage-Repair Damaged or Broken -Si-078" u="1"/>
        <s v="Si-HATTON Compressor Station-Road (Tarmac)-Si-100" u="1"/>
        <s v="Si-MOFFAT Compressor Station-Road (Tarmac)-Si-100" u="1"/>
        <s v="Si-CAMBRIDGE Compressor Station-Road (Concrete)-Si-101" u="1"/>
        <s v="Si-CHELMSFORD Compressor Station-Road (Concrete)-Si-101" u="1"/>
        <s v="Si-CHURCHOVER Compressor Station-Road (Concrete)-Si-101" u="1"/>
        <s v="Si-DYFFRYN CLYDACH-Road (Concrete)-Si-101" u="1"/>
        <s v="Si-HERBRANDSTON-Road (Concrete)-Si-101" u="1"/>
        <s v="Si-BISHOP AUCKLAND-Road (Tarmac)-Si-103" u="1"/>
        <s v="Si-KIRRIEMUIR Compressor Station-Road (Tarmac)-Si-103" u="1"/>
        <s v="Si-SLAPTON-Road (Tarmac)-Si-103" u="1"/>
        <s v="Si-WISBECH Compressor Station-Steel Tanks-Repair-Si-114" u="1"/>
        <s v="Si-CAMBRIDGE Compressor Station-Bunds-Repair-Si-116" u="1"/>
        <s v="Si-CHELMSFORD Compressor Station-Building-Major Refub-Si-118" u="1"/>
        <s v="Si-HATTON Compressor Station-Building-Major Refub-Si-118" u="1"/>
        <s v="Si-STAPLEFORD TAWNEY-Building-Major Refub-Si-118" u="1"/>
        <s v="Si-Broomfield-Gate-Replace Gate-Si-121" u="1"/>
        <s v="Si-CHURCHOVER MULTIJUNCTION-Gate-Replace Gate-Si-121" u="1"/>
        <s v="Si-CLIFTON CAMPVILLE-Gate-Replace Gate-Si-121" u="1"/>
        <s v="Si-Laurencekirk-Gate-Replace Gate-Si-121" u="1"/>
        <s v="Si-MARYKIRK-Gate-Replace Gate-Si-121" u="1"/>
        <s v="Si-BARRINGTON-Install Ground Guards-Si-129" u="1"/>
        <s v="Si-ABSON-Fence-Replace fencing-Si-130" u="1"/>
        <s v="Si-ALDERBURY-Fence-Replace fencing-Si-130" u="1"/>
        <s v="Si-CARLISLE 'A'-Fence-Replace fencing-Si-130" u="1"/>
        <s v="Si-CAWOOD-Fence-Replace fencing-Si-130" u="1"/>
        <s v="Si-CLEISH-Fence-Replace fencing-Si-130" u="1"/>
        <s v="Si-DROINTON-Fence-Replace fencing-Si-130" u="1"/>
        <s v="Si-LITTLE CAWTHORPE-Fence-Replace fencing-Si-130" u="1"/>
        <s v="Si-LONG CRENDON-Fence-Replace fencing-Si-130" u="1"/>
        <s v="Si-MARTIN-Fence-Replace fencing-Si-130" u="1"/>
        <s v="Si-SUSWORTH TRENT WEST-Fence-Replace fencing-Si-130" u="1"/>
        <s v="Si-WOODLANDS-Fence-Replace fencing-Si-130" u="1"/>
        <s v="Si-BACKBARROW-Fence-Repair Fencing-Si-131" u="1"/>
        <s v="Si-GALGATE-Fence-Repair Fencing-Si-131" u="1"/>
        <s v="Si-PENNINGTON-Fence-Repair Fencing-Si-131" u="1"/>
        <s v="Si-SHAP-Fence-Repair Fencing-Si-131" u="1"/>
        <s v="Si-SLAPTON-Fence-Repair Fencing-Si-131" u="1"/>
        <s v="Si - EAST -Actuator-Actuator Control Replacement - Si-143 - Draw Down" u="1"/>
        <s v="Si-LOCATION 09999-Actuator-Actuator Control Replacement-Si-143-West - Draw Down" u="1"/>
        <s v="Si-Thurning-Block Valve replacement" u="1"/>
        <s v="Si-Pettinain-Block Valve replacement" u="1"/>
        <s v="Si-Cambridge Compressor Station-Valves-Actuator Replacement-NT7235STSP-MV1005A- SHAFER HSE Action" u="1"/>
        <s v="Si-Cambridge Compressor Station-Valves-Actuator Replacement-NT7235STSA-MV1101A- SHAFER HSE Action" u="1"/>
        <s v="Si-Cambridge Compressor Station-Valves-Actuator Replacement-NT7235STSB-MV1201AB- SHAFER HSE Action" u="1"/>
        <s v="Si-Cambridge Compressor Station-Valves-Actuator Replacement-NT7235UADP-MV2104A- SHAFER HSE Action" u="1"/>
        <s v="Si-Cambridge Compressor Station-Valves-Actuator Replacement-NT7235UAGV-MV2120A- SHAFER HSE Action" u="1"/>
        <s v="Si-Cambridge Compressor Station-Valves-Actuator Replacement-NT7235UBFU-MV2229A- SHAFER HSE Action" u="1"/>
        <s v="Si-Cambridge Compressor Station-Valves-Actuator Replacement-NT7235UBFU-MV2230A- SHAFER HSE Action" u="1"/>
        <s v="Si-Cambridge Compressor Station-Valves-Actuator Replacement-NT7235UBGV-MV2220A- SHAFER HSE Action" u="1"/>
        <s v="Si-Cambridge Compressor Station-Valves-Actuator Replacement-NT7235UBSP-MV2201A- SHAFER HSE Action" u="1"/>
        <s v="Si-Wisbech Compressor Station-Valves-Actuator Replacement-NT7245UBSP-724522A-SHAFER HSE Action" u="1"/>
        <s v="Si-Wisbech Compressor Station-Valves-Actuator Replacement-NT7245STSP-724502A-SHAFER HSE Action" u="1"/>
        <s v="Si-Diss Compressor Station-Valves-Actuator Replacement-NT7228STSB-MV1202AC- SHAFER HSE Action" u="1"/>
        <s v="Si-Diss Compressor Station-Valves-Actuator Replacement-NT7228UAFU-MV2115A- SHAFER HSE Action" u="1"/>
        <s v="Si-Diss Compressor Station-Valves-Actuator Replacement-NT7228UBDP-MV2203A- SHAFER HSE Action" u="1"/>
        <s v="Si-Diss Compressor Station-Valves-Actuator Replacement-NT7228UCSP-MV2302A- SHAFER HSE Action" u="1"/>
        <s v="Si-Diss Compressor Tee-Valves-Actuator Replacement-NT1520ROV1-152002ACT- SHAFER HSE Action" u="1"/>
        <s v="Si-Diss Compressor Tee-Valves-Actuator Replacement-NT1520ROV1-152003ACT- SHAFER HSE Action" u="1"/>
        <s v="Si-WEST WINCH-Valves-Actuator Replacement-NT1224ROV1-122402ACT- SHAFER HSE Action" u="1"/>
        <s v="Si-MAPPOWDER-Valves-Actuator Replacement-NT2123VCR1-212303ACT- Shafer HSE Action" u="1"/>
        <s v="Si-MILWICH-Valves-Actuator Replacement-NT3615ROV1-361501ACT- SHAFER HSE Action" u="1"/>
        <s v="Si-MILWICH-Valves-Actuator Replacement-NT3615ROV1-361503ACT- SHAFER HSE Action" u="1"/>
        <s v="Si-Kirriemuir-Valves-Actuator Replacement-NT6033ROV1-603302ACT- SHAFER HSE Action" u="1"/>
        <s v="Si-Kirriemuir-Valves-Actuator Replacement-NT6033ROV1-603308ACT- SHAFER HSE Action" u="1"/>
        <s v="Si - ALREWAS MULTIJUNCTION  - Pipework - A/G Pipework - CM/4 Defect Resolution" u="1"/>
        <s v="SI - EAST - Switchgear - Replacement of LV Switchgear Installation - Draw Down" u="1"/>
        <s v="SI - NORTH - Switchgear - Replacement of LV Switchgear Installation - Draw Down" u="1"/>
        <s v="SI - EAST - Switchgear - Replacement of electronic protection relays - Draw Down" u="1"/>
        <s v="Si-ALREWAS MULTIJUNCTION-Pipe Supports-Replace Concrete Pipe Support with Steel-Si-184" u="1"/>
        <s v="Si - HORNDON 'A' - Cathodic Protection Equipment - Insulation Joint Intervention - Replace IJ" u="1"/>
        <s v="Si - RHYND - Cathodic Protection Equipment - Insulation Joint Intervention - Replace IJ" u="1"/>
        <s v="Si - BATHGATE - Sealant Port Adaption - NT6055VCR1-605568VLV" u="1"/>
        <s v="Si - BATHGATE - Sealant Port Adaption - NT6055ROV1-605509VLV" u="1"/>
        <s v="Si - CORBRIDGE - Valve Replacement - NT6369VCR1-636902VLV" u="1"/>
        <s v="Si - CORBRIDGE - Valve Replacement - NT6369VNC1-636903VLV" u="1"/>
        <s v="Si-PUCKLECHURCH-Pipe Supports-Replace Steel Pipe Supports-Si-183" u="1"/>
        <s v="Si-PUCKLECHURCH-Pipe Supports-Replace Concrete Pipe Support with Steel-Si-184" u="1"/>
        <s v="Si - PUCKLECHURCH - Pits - Break Out Of Pit Infrastructure" u="1"/>
        <s v="Si-DOWLAIS-Stopple &amp; Bypass" u="1"/>
        <s v="Si-LAVENHAM-Valves-BV replacement-Si-257" u="1"/>
        <s v="Si-NETHER HOWCLEUGH-Valves-BV replacement-Si-257" u="1"/>
        <s v="Si - WOOLER - Actuator Replacement - NT6357ROV1-635701ACT" u="1"/>
        <s v="Si - LOCATION 09999 TERMINAL - Temperature Risk - Above Ground Pipework Coatings - Studies" u="1"/>
        <s v="Si - HATTON COMPRESSOR STATION - Temperature Risk - Batteries - Studies and costing for compressor stations" u="1"/>
        <s v="Si - UPPINGHAM - Pipework - A/G Pipework - CM/4 Defect Resolution" u="1"/>
        <s v="Si - MILNATHORT - Pipework - A/G Pipework - CM/4 Defect Resolution" u="1"/>
        <s v="Si - SAPPERTON - Pipework - A/G Pipework - CM/4 Defect Resolution" u="1"/>
        <s v="Si - WATERMEETINGS - Install Ground Guards - Si-129" u="1"/>
        <s v="Si - BILLERICAY - Fence - Replace fencing - Si-130" u="1"/>
        <s v="Si - THURNING - Fence - Replace fencing - Si-130" u="1"/>
        <s v="Si - LAVENHAM - Fence - Replace fencing - Si-130" u="1"/>
        <s v="Si - MILNATHORT - Valves - Tighten/ Adjust Stem Seals - NT6237VNC1-06VNC" u="1"/>
        <s v="Si - MILNATHORT - Vent And Sealant Line Replacement - NT6237VCR1-01VCR" u="1"/>
        <s v="Si - EASTON GREY - Pipe Supports - Replace Steel Pipe Supports - Si-183" u="1"/>
        <s v="Si-ILCHESTER-Pipe Supports-Replace Concrete Pipe Support with Steel-Si-184" u="1"/>
        <s v="Si-WATERMEETINGS-Pit Wall-Pit Wall Defect-Si-185" u="1"/>
        <s v="Si-SAPPERTON-Pit Wall-Pit Wall Defect-Si-185" u="1"/>
        <s v="Si - ELTON - Pits - Break Out Of Pit Infrastructure - Pit - Si-186" u="1"/>
        <s v="Si - EASTON GREY - Ducting - Site Ducting Relifing - Si-196" u="1"/>
        <s v="Si - CAMBRIDGE COMPRESSOR STATION - Valve - Valve Strip &amp; Condition Assessment - Si-235" u="1"/>
        <s v="Si - EASTON GREY - Pit - Pit Cover Replacement (Concrete with GRP Composite) - Si-245" u="1"/>
        <s v="Si - CORBRIDGE - Cathodic Protection Equipment - Insulation Joint Intervention - Replace IJ" u="1"/>
        <s v="Si- BROME - Block Valve Pipe through and Decom" u="1"/>
        <s v="Si - BISHOP AUCKLAND - Vibration Rectification - Si-228" u="1"/>
        <s v="Si - WEST - Block valve modification after pits have been broken out - Draw Down" u="1"/>
        <s v="Si - TILBURY THAMES NORTH - Access - Platforms and Stairs Relifing - Si-075" u="1"/>
        <s v="Si - LONGTOWN - Valve Replacement - NT4329VCR1-432907VLV" u="1"/>
        <s v="Si - WEST - Standby Generators - Standby Generator Battery Replacement - Draw Down" u="1"/>
        <s v="Si-SUFFIELD-Pit Wall-Pit Wall Defect-Si-185" u="1"/>
        <s v="Si-ROUGHAM-Pit Wall-Pit Wall Defect-Si-185" u="1"/>
        <s v="Si - LAVENHAM - Pits - Break Out Of Pit Infrastructure - Pit" u="1"/>
        <s v="Si - CHURCHOVER MULTIJUNCTION - Churchover Pipe Supports Decommissioning" u="1"/>
        <s v="Si - SIMPRIM - Road (Concrete) - New Path - Si-108" u="1"/>
        <s v="Si - WATERMEETINGS - Pipe Supports - Replace Steel Pipe Supports - Si-183" u="1"/>
        <s v="Si - SIMPRIM - Ducting - Site Ducting Relifing - Si-196" u="1"/>
        <s v="Si - GRAVESEND THAMES SOUTH - UPS - Replace AC UPS (Small) - AGIs" u="1"/>
        <s v="Si - EAST - Telemetry  DC UPS - Replace DC UPS (Small) - AGIs - Draw Down" u="1"/>
        <s v="Si - WATERMEETINGS - Pipework - CM/4 Defect Resolution - Si-070" u="1"/>
        <s v="Si - CROOKHAM - Pipework - CM/4 Defect Resolution - Si-070" u="1"/>
        <s v="Si - GARVALD - Pipework - CM/4 Defect Resolution - Si-070" u="1"/>
        <s v="Si - BISHOP AUCKLAND - Pipework - A/G Pipework - CM/4 Defect Resolution" u="1"/>
        <s v="Si - EAST - Standby power system  AC UPS -Replace AC UPS (Large) - Compressor St - Draw Down" u="1"/>
        <s v="Si - WEST - Standby power system  AC UPS -Replace AC UPS (Large) - Compressor St - Draw Down" u="1"/>
        <s v="Si - NORTH - Replace DC UPS (Large) - Compressor Station - Si-002 - Draw Down" u="1"/>
        <s v="Si - EAST - Replace Batteries (VRLA) (Large) - Draw Down" u="1"/>
        <s v="Si - NORTH - Telemetry  DC UPS - Replace DC UPS (Small) - AGIs - Draw Down" u="1"/>
        <s v="Si - EAST - Standby Generators - Standby Generator Battery Replacement - Draw Down" u="1"/>
        <s v="Si - NORTH - Standby Generators - Standby Generator Battery Replacement - Draw Down" u="1"/>
        <s v="Si - EAST - Power Transformers - Converter Transformer Coating Replacement - Draw Down" u="1"/>
        <s v="Si - EAST - Block valve modification after pits have been broken out - Draw Down" u="1"/>
        <s v="Si - ILCHESTER - Vent And Sealant Line Replacement - NT2127ROV1-703570VLV" u="1"/>
        <s v="Si - ILCHESTER - Vent And Sealant Line Replacement - NT2127VNC1-703591VLV" u="1"/>
        <s v="Si - CHURCHOVER MULTIJUNCTION - Building - Non-Hazardous Area Lighting Luminaire &amp; Cable Replacement" u="1"/>
        <s v="Si - DIDCOT POWER STATION - Plinths - Concrete Plinth Repair" u="1"/>
        <s v="Si - TREALES - Pipe Supports-Replace Concrete Pipe Support with Steel - Si-184" u="1"/>
        <s v="Si - EAST - Valves - Valve Replacement -Si-146 - Draw Down" u="1"/>
        <s v="Si - EAST - CCA - Temperature Risk - Compressors - Studies and costing for compressor stations and sites. - Draw Down" u="1"/>
        <s v="Si - NORTH - CCA - Temperature Risk - Compressors - Studies and costing for compressor stations and sites. - Draw Down" u="1"/>
        <s v="Si - NORTH - Replace DC UPS (Small) - AGIs - Draw Down" u="1"/>
        <s v="Si - EAST - Replace Piller Rotary UPS (Compressors) - Draw Down" u="1"/>
        <s v="Si - EAST - Replace Batteries (Nicad) (Large) - Draw Down" u="1"/>
        <s v="Si - NORTH - Replace Batteries (Nicad) (Large) - Draw Down" u="1"/>
        <s v="Si - WEST - Replace Batteries (Nicad) (Large) - Draw Down" u="1"/>
        <s v="Si - EAST - Link box replacement - Draw Down" u="1"/>
        <s v="Si - WEST - Step Down Transformer Replacement 11/33Kv - Draw Down" u="1"/>
        <s v="Si - EAST - Step Down Transformer Replacement 132Kv - Draw Down" u="1"/>
        <s v="Si - NORTH - Install DG Analyser - Draw Down" u="1"/>
        <s v="Si - NORTH - Refurbishment of Earthing &amp; Lightning Protection Systems (Large Site) - Draw Down" u="1"/>
        <s v="Si - EAST - Refurbishment of Earthing &amp; Lightning Protection Systems (Small Site) - Draw Down" u="1"/>
        <s v="Si - WEST - Fuel Gas/Domestic Gas Supply Pressure Regulator Skid Replacement - Draw Down" u="1"/>
        <s v="Si - NORTH - Replacement of Multistage Pressure Reduction Skid - Draw Down" u="1"/>
        <s v="Si - EAST - Replace Modular Boiler Package Including Building - Draw Down" u="1"/>
        <s v="Si - EAST - Replace Modular Boiler Package - Draw Down" u="1"/>
        <s v="Si - NORTH - Replace Modular Boiler Package - Draw Down" u="1"/>
        <s v="Si - WEST - Replace Modular Boiler Package - Draw Down" u="1"/>
        <s v="Si - NORTH - Lagging &amp; Cladding - Replacement of Cladding/Lagging (Small Site) - Draw Down" u="1"/>
        <s v="Si - EAST - Replace Sewage Treatment System - Draw Down" u="1"/>
        <s v="Si - EAST - Remove the valve and flange the connection (assuming the valve is flanged) - Draw Down" u="1"/>
        <s v="Si - EAST - Install a new standard valve bypass arrangement - Draw Down" u="1"/>
        <s v="Si - EAST - Replace Fixed Condensate Tank with Mobile Condensate Tank - Draw Down" u="1"/>
        <s v="Si - NORTH - Integral switchgear replacement - Draw Down" u="1"/>
        <s v="Si - EAST - Repair steel tanks - Draw Down" u="1"/>
        <s v="Si - EAST - Replacement of motor managers on Motor Control Centre (MCC) switchgear - Draw Down" u="1"/>
        <s v="Si - EAST - Replace Regulator Stream PCV/FCV (Single). - Draw Down" u="1"/>
        <s v="Si - NORTH - Replace Regulator Stream PCV/FCV (Single). - Draw Down" u="1"/>
        <s v="Si - NORTH - Actuator Overhaul - Draw Down" u="1"/>
        <s v="Si - WEST - Actuator Overhaul - Draw Down" u="1"/>
        <s v="Si - WEST - Valve Overhaul - Draw Down" u="1"/>
        <s v="Si - NORTH - Filter Pssr Inspection And Rectification - Draw Down" u="1"/>
        <s v="Si - EAST - Compressor Distribution Individual Board replacement - Draw Down" u="1"/>
        <s v="Si - EAST - Replace valve with Double block and bleed solution - Draw Down" u="1"/>
        <s v="Si - WEST - Replace valve with Double block and bleed solution - Draw Down" u="1"/>
        <s v="Si - WEST - Heat Exchanger PSSR Bursting Disc Replacement - Draw Down" u="1"/>
        <s v="Si - EAST - Install Transec Units - Draw Down" u="1"/>
        <s v="Si - EAST - CP-Sites-Survey - Draw Down" u="1"/>
        <s v="Si - EAST - CP-Sites-Test Post Intervention - Draw Down" u="1"/>
        <s v="Si - EAST - CP-Sites-Groundbed Intervention (including SAC Anodes) - Draw Down" u="1"/>
        <s v="Si - NORTH - CP-Sites-Groundbed Intervention (including SAC Anodes) - Draw Down" u="1"/>
        <s v="Si - WEST - CP-Sites-Install Remote Monitor - Draw Down" u="1"/>
        <s v="Si - NORTH - CCA - Flood Risk - Temporary flood interventions for identified impacted sites. - Draw Down" u="1"/>
        <s v="Si - EAST - CCA - Temperature Risk - Above Ground Pipework Coatings - Studies - Draw Down" u="1"/>
        <s v="Si - NORTH - CCA - Temperature Risk - Above Ground Pipework Coatings - Studies - Draw Down" u="1"/>
        <s v="Si - WEST - Installation of Terminal HIPPS - Draw Down" u="1"/>
        <s v="Si - EAST - CCA - Temperature Risk - Transformers - Studies to develop permanent mitigation measures - Draw Down" u="1"/>
        <s v="Si - WEST - CCA - Temperature Risk - Transformers - Studies to develop permanent mitigation measures - Draw Down" u="1"/>
        <s v="Si - POLWARTH - Pipework - A/G Pipework - CM/4 Defect Resolution" u="1"/>
        <s v="Si - AUCHTERMUCHTY - Valves - Tighten/ Adjust Stem Seals - NT6235VNC1-623502VLV" u="1"/>
        <s v="Si - AUCHTERMUCHTY - Valves - Tighten/ Adjust Stem Seals - NT6235VNC1-623503VLV" u="1"/>
        <s v="Si - BARRINGTON - Valves - Tighten/ Adjust Stem Seals - NT3857VNC1-385772VLV" u="1"/>
        <s v="Si - DORRINGTON - Pipework - A/G Pipework - CM/4 Defect Resolution" u="1"/>
        <s v="Si - BISHOP AUCKLAND COMPRESSOR STATION - Replace Luminaire and internal column cable RIIO3 1" u="1"/>
        <s v="Si - BISHOP AUCKLAND COMPRESSOR STATION - Replace Luminaire and internal column cable RIIO3 5" u="1"/>
        <s v="Si - BISHOP AUCKLAND COMPRESSOR STATION - Replace Luminaire and internal column cable RIIO3 6" u="1"/>
        <s v="Si - BISHOP AUCKLAND COMPRESSOR STATION - Replace Luminaire and internal column cable RIIO3 7" u="1"/>
        <s v="Si - BISHOP AUCKLAND COMPRESSOR STATION - Replace Luminaire and internal column cable RIIO3 8" u="1"/>
        <s v="Si - KIRRIEMUIR COMPRESSOR STATION - Replace Luminaire and internal column cable RIIO3 2" u="1"/>
        <s v="Si - KIRRIEMUIR COMPRESSOR STATION - Replace Luminaire and internal column cable RIIO3 5" u="1"/>
        <s v="Si - KIRRIEMUIR COMPRESSOR STATION - Replace Luminaire and internal column cable RIIO3 7" u="1"/>
        <s v="Si - KIRRIEMUIR COMPRESSOR STATION - Replace Luminaire and internal column cable RIIO3 8" u="1"/>
        <s v="Si - BISHOP AUCKLAND COMPRESSOR STATION - Hazardous Area Lighting Luminaire &amp; Cable Replacement" u="1"/>
        <s v="Si - KIRRIEMUIR COMPRESSOR STATION - Building - Non-Hazardous Area Lighting Luminaire &amp; Cable Replacement" u="1"/>
        <s v="Si - CHURCHOVER MULTIJUNCTION - Stopple &amp; Bypass" u="1"/>
        <s v="Si - SIMPRIM - Plinths - Concrete Plinth Repair" u="1"/>
        <s v="Si - FAIRSTEAD - Block valve replacement" u="1"/>
        <s v="Si - ABSON - Access - Platforms and Stairs Relifing - Si-075" u="1"/>
        <s v="C -BISHOP AUCKLAND COMPRESSOR STATION- Unit B - Power Turbine - N/A - Overhaul" u="1"/>
        <s v="C -CARNFORTH COMPRESSOR STATION- Unit C - Power Turbine - N/A - Overhaul" u="1"/>
        <s v="C -KIRRIEMUIR COMPRESSOR STATION- Unit A - Gas Turbine - N/A - Overhaul" u="1"/>
        <s v="C -ALREWAS COMPRESSOR STATION- Unit B - Gas Turbine - N/A - Fuel gas conditioning skid installation" u="1"/>
        <s v="C -CHELMSFORD COMPRESSOR STATION- Unit B - Gas Turbine - N/A - Fuel gas conditioning skid installation" u="1"/>
        <s v="C -AVONBRIDGE COMPRESSOR STATION- Unit 1B - Compressor - N/A - Decommission" u="1"/>
        <s v="C -KIRRIEMUIR COMPRESSOR STATION- Unit C - Compressor - N/A - Decommission" u="1"/>
        <s v="C -KIRRIEMUIR COMPRESSOR STATION- Unit B - Valve - V2201 - Overhaul" u="1"/>
        <s v="C -PETERBOROUGH COMPRESSOR STATION- Unit A - Valve - NRV2001 - Overhaul" u="1"/>
        <s v="C - TBC - TBC - Compressor - N/A - Breakdown Budget - Draw Down" u="1"/>
        <s v="C -ALREWAS COMPRESSOR STATION- Unit B - Gas Turbine - N/A - Install lube oil conditioning skid" u="1"/>
        <s v="C -AVONBRIDGE COMPRESSOR STATION- Unit 2A - Gas Turbine - N/A - Install lube oil conditioning skid" u="1"/>
        <s v="C -PETERBOROUGH COMPRESSOR STATION- Emissions Work - New Unit - Unit F (T2 Rollover)" u="1"/>
        <s v="C -AVONBRIDGE COMPRESSOR STATION- Unit 1A - Compressor - Centrifugal - Rewheel" u="1"/>
        <s v="C -BISHOP AUCKLAND COMPRESSOR STATION- Unit B - Compressor - Centrifugal - Rewheel" u="1"/>
        <s v="C -CAMBRIDGE COMPRESSOR STATION- Unit A - Oil System - N/A - Major Refurb" u="1"/>
        <s v="C -CAMBRIDGE COMPRESSOR STATION- Unit B - Oil System - N/A - Major Refurb" u="1"/>
        <s v="C -DISS COMPRESSOR STATION- Unit B - Oil System - N/A - Major Refurb" u="1"/>
        <s v="C -KIRRIEMUIR COMPRESSOR STATION- Unit A - Oil System - N/A - Major Refurb" u="1"/>
        <s v="C-AYLESBURY COMPRESSOR STATION- Unit A - Gas Turbine - N/A - Fuel gas conditioning skid installation" u="1"/>
        <s v="C -HATTON COMPRESSOR STATION- Unit A - Gas Turbine - N/A - Fuel gas conditioning skid installation" u="1"/>
        <s v="C - ALREWAS COMPRESSOR STATION - Unit A - Fire Supression System - Electric Water Pump System - Replace" u="1"/>
        <s v="C - KINGS LYNN COMPRESSOR STATION - Unit C - Fire Supression System - Electric Water Pump System - Replace" u="1"/>
        <s v="C - BISHOP AUCKLAND COMPRESSOR STATION - Unit A - Fire Supression System - Electric Water Pump System - Replace" u="1"/>
        <s v="C - BISHOP AUCKLAND COMPRESSOR STATION - Unit B - Fire Supression System - Electric Water Pump System - Replace" u="1"/>
        <s v="C - NETHER KELLET COMPRESSOR STATION - Unit A - Fire Supression System - Electric Water Pump System - Replace" u="1"/>
        <s v="C - ALREWAS COMPRESSOR STATION - Unit B - Cab - Ventilation - Replace" u="1"/>
        <s v="C - ALREWAS COMPRESSOR STATION - Unit B - Cab - Air Intake - Replace" u="1"/>
        <s v="C - KINGS LYNN COMPRESSOR STATION - Unit D - Cab - Air Intake - Replace" u="1"/>
        <s v="C - BISHOP AUCKLAND COMPRESSOR STATION - Unit B - Cab - Air Intake - Replace" u="1"/>
        <s v="C - NETHER KELLET COMPRESSOR STATION - Unit B - Cab - Air Intake - Replace" u="1"/>
        <s v="C - LOCKERLY  COMPRESSOR STATION - Unit A - Cab - N/A - Survey" u="1"/>
        <s v="C - ABERDEEN  COMPRESSOR STATION - Unit B - Cab - N/A - Survey" u="1"/>
        <s v="C - ABERDEEN  COMPRESSOR STATION - Unit C - Cab - N/A - Survey" u="1"/>
        <s v="C - Kirriemuir - Unit E - Variable Speed Drive - HV Motor - Overhaul" u="1"/>
        <s v="C - Kirriemuir - Unit E - Variable Speed Drive - HV Motor - EX'p' Pressurisation Test" u="1"/>
        <s v="C - Wormington - Unit C - Variable Speed Drive - HV Motor - EX'p' Pressurisation Test" u="1"/>
        <s v="C - Felindre - Unit A - Variable Speed Drive - HV Cables - Remediation" u="1"/>
        <s v="C-LOCATION 9001 - GAS COMPRESSOR - EMISSION COMPLIANCE  - UNIT 1D" u="1"/>
        <s v="C -LOCATION 9001 - ELECTRIC DRIVE CAB ENCLOSURE  - ELECTRIC DRIVES ACCESS ROOF PANEL INSTALLATION - UNIT 3A CAB ENCLOSURE" u="1"/>
        <s v="C -LOCATION 9001 - ELECTRIC DRIVE CAB ENCLOSURE  - ELECTRIC DRIVES ACCESS ROOF PANEL INSTALLATION - UNIT 3B CAB ENCLOSURE" u="1"/>
        <s v="C -LOCATION 9001 - VENTING SYSTEM - SURVEY- TERMINAL PLANT 1" u="1"/>
        <s v="C -LOCATION 9001 - VENTING SYSTEM - SURVEY -TERMINAL PLANT 2" u="1"/>
        <s v="C-LOCATION 9001 - DUCTING - REPLACEMENT" u="1"/>
        <s v="C - LOCATION 9001 - UNIT 3A - CAB INFRASTRUCTURE -  INSTALL GANTRIES" u="1"/>
        <s v="C - LOCATION 9001 - UNIT 3B - CAB -  CAB INFRASTRUCTURE -  INSTALL GANTRIES" u="1"/>
        <s v="C- LOCATION 9001 - FIRE AND GAS DETECTORS -FIRE ALARM SOUNDER - REPLACEMENT" u="1"/>
        <s v="C - LOCATION 9001 -PIG TRAP - REMOVAL - PIG TRAP C" u="1"/>
        <s v="C- LOCATION 9001 - PLANT 3 CONTAINERS HVAC SYSTEM - REPLACEMENT - UNIT 3A  LV CONTAINER AIR CONDITIONER" u="1"/>
        <s v="C-PLANT 3 CONTAINER HVAC SYSTEM - REPLACEMENT  - UNIT 3B  VSD CONTAINER AIR CONDITIONER" u="1"/>
        <s v="C-PLANT 3 CONTAINER HVAC SYSTEM - REPLACEMENT  - UNIT 3B 5.32kV SWITCHGEAR" u="1"/>
        <s v="C - LOCATION 9001 - UNIT 3A - HARMONIC FILTER - MINOR REFURB  - NT60113AHF-HARMCTRL5TH" u="1"/>
        <s v="C - LOCATION 9001 - UNIT 3B - PURGE UNIT - VERIFICATION AND RE-VALIDATION OF HV MOTOR EX'P' PRESSURISATION SYSTEM" u="1"/>
        <s v="C - LOCATION 9001 - UNIT 3B - DRY GAS SEAL - REPLACEMENT" u="1"/>
        <s v="C-LOCATION 9001 - HEATERS AND BOILERS - OCCUPIED BUILDING HVAC - REPLACEMENT" u="1"/>
        <s v="C - LOCATION 9001 - UNIT 1D - AIR/OIL COOLER REPLACEMENT" u="1"/>
        <s v="C-LOCATION 9001 -BUILDINGS - CONSTRUCT/REPLACE BUILDING - STORAGE BUILDING" u="1"/>
        <s v="C -LOCATION 9001 - FILTER PSSR INSPECTION AND RECTIFICATION -FILTER" u="1"/>
        <s v="C - LOCATION 9001 FILTER PSSR INSPECTION AND RECTIFICATION-MAIN FUEL GAS FILTER C" u="1"/>
        <s v="C - LOCATION 9001 FILTER PSSR INSPECTION AND RECTIFICATION-MAIN FUEL GAS FILTER G" u="1"/>
        <s v="C - LOCATION 9001 FILTER PSSR INSPECTION AND RECTIFICATION-MAIN FUEL GAS FILTER G 3G" u="1"/>
        <s v="C - LOCATION 9001 FILTER PSSR INSPECTION AND RECTIFICATION-MAIN FUEL GAS FILTER H 3H" u="1"/>
        <s v="C-LOCATION 9001 - INSTRUMENT AIR / N2 SYSTEM REPLACEMENTAIR COMPRESSOR PACKAGE 3B" u="1"/>
        <s v="C-LOCATION 9001 - DECOMISSION REDUNDANT ASSETS - PLANT 2 CONDENSATE PUMP" u="1"/>
        <s v="C - LOCATION 9001 - REMEDIATION OF PIT WALL TRANSITION DEFECT - Pit 14 - F10" u="1"/>
        <s v="C-LOCATION 9001 -  UNIT 3A -  REPLACEMENT OF HV ELECTRONIC PROTECTION RELAYS" u="1"/>
        <s v="C-LOCATION 9001 - VALVE STRIP AND CONDITION ASSESSEMENT-18 Inch VALVE" u="1"/>
        <s v="C - KIRRIEMUIR COMPRESSOR STATION - Unit E - Variable Speed Drive - Frequency Converter - Major Refurbishment" u="1"/>
        <s v="C - KIRRIEMUIR COMPRESSOR STATION - Unit E - Variable Speed Drive - HV Cables - Testing" u="1"/>
        <s v="C - HATTON COMPRESSOR STATION - Unit D - Variable Speed Drive - Cooling System - Survey" u="1"/>
        <s v="C - FELINDRE  COMPRESSOR STATION - Unit B - Cab - Ventilation - Replace" u="1"/>
        <s v="C - KINGS LYNN  COMPRESSOR STATION - Unit C - Cab - Ventilation - Replace" u="1"/>
        <s v="C - KINGS LYNN  COMPRESSOR STATION - Unit D - Cab - Ventilation - Replace" u="1"/>
        <s v="C - ALREWAS  COMPRESSOR STATION - Unit C - Cab - Ventilation - Replace" u="1"/>
        <s v="C -HUNTINGDON COMPRESSOR STATION- Unit D - Gas Turbine - N/A - Install BAM 2.0" u="1"/>
        <s v="C -HUNTINGDON COMPRESSOR STATION- Unit E - Gas Turbine - N/A - Install BAM 2.0" u="1"/>
        <s v="C -NETHER KELLET COMPRESSOR STATION- Unit B - Crane - N/A - Install Upgrade to electic" u="1"/>
        <s v="C -HUNTINGDON COMPRESSOR STATION- Unit E - Exhaust Muffler - N/A - Replacement" u="1"/>
        <s v="C -PETERBOROUGH COMPRESSOR STATION- Unit E - Exhaust Muffler - N/A - Replacement" u="1"/>
        <s v="C -CAMBRIDGE COMPRESSOR STATION- Unit C - Gas Turbine - N/A - Overhaul" u="1"/>
        <s v="C -KINGS LYNN COMPRESSOR STATION- Unit D - Gas Turbine - N/A - Overhaul" u="1"/>
        <s v="C -ABERDEEN COMPRESSOR STATION- Unit A - Valve - NRV2101 - Overhaul" u="1"/>
        <s v="C -ABERDEEN COMPRESSOR STATION- Unit B - Valve - NRV2201 - Overhaul" u="1"/>
        <s v="C - WORMINGTON COMPRESSOR STATION - NRV replacement - NT7260UADP-NRV210902" u="1"/>
        <s v="C - Bishop Auckland Compressor Station - Unit A - Buildings - Replace Cab Doors" u="1"/>
        <s v="C - Aberdeen Compressor Station - Unit A - Gas Turbine - Replace Exhaust Lagging" u="1"/>
        <s v="C - Bishop Auckland Compressor Station - Unit A - Gas Turbine - Replace flexible hose assemblies" u="1"/>
        <s v="C - Bishop Auckland Compressor Station - Unit B - Gas Turbine - Replace flexible hose assemblies" u="1"/>
        <s v="C - Carnforth Compressor Station - Unit C - Valves - Implement automatic stroking on Fuel Metering Valves" u="1"/>
        <s v="C - Bishop Auckland Compressor Station - Unit A - Valves - Replace LM2500+ Fuel Gas Valves" u="1"/>
        <s v="C - Bishop Auckland Compressor Station - Unit B - Gas Turbine - Replace Frame mounted Accelerometer" u="1"/>
        <s v="C - Aberdeen Compressor Station - Unit B - Gas Turbine - Replace PT bearing sump chip detector" u="1"/>
        <s v="C - Bishop Auckland Compressor Station - Unit B - Gas Turbine - Replace PT bearing sump chip detector" u="1"/>
        <s v="C - Carnforth Compressor Station - Unit C - Gas Turbine - Replace PT bearing sump chip detector" u="1"/>
        <s v="C - Carnforth Compressor Station - Unit C - Gas Turbine - Update HMI with HP Recoup Calculations" u="1"/>
        <s v="C - Bishop Auckland Compressor Station - Unit B - Gas Turbine - Update HMI with HP Recoup Calculations" u="1"/>
        <s v="C - Felindre Compressor Station - Gas Turbine - Enhanced Emissions Control" u="1"/>
        <s v="C - HUNTINGDON COMPRESSOR STATION - Gas Turbine - Enhanced Emissions Control" u="1"/>
        <s v="C - CHURCHOVER COMPRESSOR STATION - Gas Turbine - Enhanced Emissions Control" u="1"/>
        <s v="C - Peterborough Compressor Station - Unit E - Gas Turbine - Install seal gas booster" u="1"/>
        <s v="C - Carnforth Compressor Station - Unit C - Gas Turbine - Implement Anti-Choke System" u="1"/>
        <s v="C - Aberdeen Compressor Station - Unit B - Gas Turbine - Replace Ignitor Box" u="1"/>
        <s v="C - Aberdeen Compressor Station - Unit C - Gas Turbine - Replace Ignitor Box" u="1"/>
        <s v="C - Bishop Auckland Compressor Station - Unit A - Gas Turbine - Implement Slow Roll System and install staging valve monitoring" u="1"/>
        <s v="C - Carnforth Compressor Station - Unit C - Gas Turbine - Implement Slow Roll System and install staging valve monitoring" u="1"/>
        <s v="C - Carnforth Compressor Station - Unit C - Gas Turbine - Replace Inconel Bolts for Exhaust to transition piece" u="1"/>
        <s v="C - Bishop Auckland Compressor Station - Unit B - Gas Turbine - Replace Inconel Bolts for Exhaust to transition piece" u="1"/>
        <s v="C - Aberdeen Compressor Station - Unit A - Gas Turbine - Replace Inconel Bolts for Exhaust to transition piece" u="1"/>
        <s v="C - Aberdeen Compressor Station - Unit B - Gas Turbine - Replace Inconel Bolts for Exhaust to transition piece" u="1"/>
        <s v="C - ALREWAS COMPRESSOR STATION - VENTING SYSTEM - Vent Stack Survey" u="1"/>
        <s v="C - AVONBRIDGE COMPRESSOR STATION - VENTING SYSTEM - Vent Stack Survey" u="1"/>
        <s v="C - KIRRIEMUIR COMPRESSOR STATION - VENTING SYSTEM - Vent Stack Survey" u="1"/>
        <s v="C - NETHER KELLET COMPRESSOR STATION - VENTING SYSTEM - Vent Stack Survey" u="1"/>
        <s v="C - WOOLER COMPRESSOR STATION - VENTING SYSTEM - Vent Stack Survey" u="1"/>
        <s v="C -HATTON COMPRESSOR STATION- Unit A - Inlet Strainer - N/A - Removal" u="1"/>
        <s v="C -DISS COMPRESSOR STATION- Unit C - Compressor - N/A - Performance Testing" u="1"/>
        <s v="C -ALREWAS COMPRESSOR STATION- Unit C - Compressor - Centrifugal - Rewheel" u="1"/>
        <s v="C -WORMINGTON COMPRESSOR STATION- Unit C - Compressor - Centrifugal - Rewheel" u="1"/>
        <s v="C -LOCKERLEY COMPRESSOR STATION- Unit A - Gas Turbine - N/A - Refurbish Mopico Unit" u="1"/>
        <s v="C -CARNFORTH COMPRESSOR STATION- Unit B - Compressor - N/A - Disconnection" u="1"/>
        <s v="C -WORMINGTON COMPRESSOR STATION- Unit C - Compressor - N/A - Spares" u="1"/>
        <s v="C -KINGS LYNN COMPRESSOR STATION- Unit C - Gas Turbine - N/A - Refurbish" u="1"/>
        <s v="C -AYLESBURY COMPRESSOR STATION- Unit A - Seal - Major Refurb" u="1"/>
        <s v="C -AYLESBURY COMPRESSOR STATION- Unit B - Seal - Major Refurb" u="1"/>
        <s v="C -CAMBRIDGE COMPRESSOR STATION- Unit A - Seal - Major Refurb" u="1"/>
        <s v="C -CAMBRIDGE COMPRESSOR STATION- Unit B - Seal - Major Refurb" u="1"/>
        <s v="C -WORMINGTON COMPRESSOR STATION- Unit A - Seal - Major Refurb" u="1"/>
        <s v="C -WORMINGTON COMPRESSOR STATION- Unit B - Seal - Major Refurb" u="1"/>
        <s v="C -CAMBRIDGE COMPRESSOR STATION- Unit A - Bearing - Major Refurb" u="1"/>
        <s v="C -CAMBRIDGE COMPRESSOR STATION- Unit B - Bearing - Major Refurb" u="1"/>
        <s v="C -KIRRIEMUIR COMPRESSOR STATION- Unit B - Bearing - Major Refurb" u="1"/>
        <s v="C -CAMBRIDGE COMPRESSOR STATION- Unit B - Impeller - Major Refurb" u="1"/>
        <s v="C - AYLESBURY COMPRESSOR STATION - Gas Turbines -  - Catalytic Converter Replacement" u="1"/>
        <s v="C -HATTON COMPRESSOR STATION- Unit A - Oil System - N/A - Major Refurb" u="1"/>
        <s v="C-LOCATION 9001 Valve replacement -ABOVE GROUND - 36 Inch V22009" u="1"/>
        <s v="C-LOCATION 9001 Valve replacement -BURIED - 36 Inch V11001" u="1"/>
        <s v="C-LOCATION 9001 Valve replacement -BURIED - 30 Inch V21073" u="1"/>
        <s v="C-LOCATION 9001 Valve replacement -BURIED - 30 Inch V21022" u="1"/>
        <s v="C-LOCATION 9001 Valve replacement -BURIED - 36 Inch V43012" u="1"/>
        <s v="C-LOCATION 9001 Valve replacement -BURIED - 36 Inch V43013" u="1"/>
        <s v="C-LOCATION 9001 Valve replacement -BURIED - 36 Inch V41007" u="1"/>
        <s v="C-LOCATION 9001 Valve replacement -PIT- 24 Inch V11004" u="1"/>
        <s v="C- LOCATION 9001 Valve and Actuator replacement  -ABOVE GROUND - 8 Inch V21014 FCV" u="1"/>
        <s v="C- LOCATION 9001 Valve and Actuator replacement -ABOVE GROUND - 8 Inch V21034 FCV" u="1"/>
        <s v="C- LOCATION 9001 Valve and Actuator replacement -ABOVE GROUND - 36 Inch 601331VLV" u="1"/>
        <s v="C- LOCATION 9001 Valve and Actuator replacement -BURIED - 36 Inch V14008" u="1"/>
        <s v="C- LOCATION 9001 Valve and Actuator replacement -BURIED - 36 Inch V14009" u="1"/>
        <s v="C- LOCATION 9001 Valve and Actuator replacement -BURIED - 36 Inch V24009" u="1"/>
        <s v="C- LOCATION 9001 Valve and Actuator replacement -BURIED - 18 Inch 601344VLV" u="1"/>
        <s v="C- LOCATION 9001 Valve and Manual gearbox replacement  - BURIED - 30 Inch V21054" u="1"/>
        <s v="C- LOCATION 9001 Valve and Manual gearbox replacement  - BURIED - 30 Inch V21074" u="1"/>
        <s v="C- LOCATION 9001 Valve and Manual gearbox replacement  - BURIED - 36 Inch V24015" u="1"/>
        <s v="C- LOCATION 9001 Valve and Manual gearbox replacement  - BURIED - 36 Inch V24017" u="1"/>
        <s v="C- LOCATION 9001 Valve and Manual gearbox replacement  - BURIED - 36 Inch V41005" u="1"/>
        <s v="C- LOCATION 9001 Valve and Manual gearbox replacement  - PIT- 30 Inch V12105" u="1"/>
        <s v="C-LOCATION 9001 New Valve and Manual gearbox installation -BURIED - 36 Inch NEW ASSET - Feeder 10" u="1"/>
        <s v="C-LOCATION 9001 New Valve and Manual gearbox installation -BURIED - 36 Inch NEW ASSET A - Incomer 2" u="1"/>
        <s v="C-LOCATION 9001 New Valve and Manual gearbox installation -BURIED - 36 Inch NEW ASSET B - Incomer 2" u="1"/>
        <s v="C-LOCATION 9001 New Valve and Actuator HIPPS compliant -BURIED - 36 Inch V41003" u="1"/>
        <s v="C - LOCATION 9001 - PIPELINE PROTECTION - CP INSULATION JOINT REPLACEMENT - FEEDER 11 IJ" u="1"/>
        <s v="C- LOCATION 9001 -  RE-ROUTE PIPEWORK THROUGH PITWALL TRANSITIONS  - INCOMER 2 - PWT C" u="1"/>
        <s v="C- LOCATION 9001 -  RE-ROUTE PIPEWORK THROUGH PITWALL TRANSITIONS  - INCOMER 1 -PWT A" u="1"/>
        <s v="C- LOCATION 9001 -  RE-ROUTE PIPEWORK THROUGH PITWALL TRANSITIONS  - INCOMER 1 -PWT B" u="1"/>
        <s v="C- LOCATION 9001 -  RE-ROUTE PIPEWORK THROUGH PITWALL TRANSITIONS  - INCOMER 1 -PWT C" u="1"/>
        <s v="C- LOCATION 9001 -  RE-ROUTE PIPEWORK THROUGH PITWALL TRANSITIONS  - INCOMER 4 -PWT B" u="1"/>
        <s v="C - LOCATION 09999 - Purchase of mobile flare - Draw Down" u="1"/>
        <s v="C-LOCATION 9001 TERMINAL-Transformer-HV Transformer-C-344" u="1"/>
        <s v="C-HATTON COMPRESSOR STATION- Unit B-Gas Turbine-Decommissioning-C-342" u="1"/>
        <s v="C - WEST - Asbestos - Asbestos Management Survey (Large Site) - C-066 - Draw Down" u="1"/>
        <s v="C - WEST - Asbestos - Asbestos Removal (Decontaminate) - C-182 - Draw Down" u="1"/>
        <s v="C - WEST - Compressor - Compressor Bearing &amp; Coupling Major Refurbishment - C-077 - Draw Down" u="1"/>
        <s v="C - EAST - Asbestos - Asbestos Management Survey (Large Site) - C-066 - Draw Down" u="1"/>
        <s v="C - EAST - Asbestos - Asbestos Removal (Decontaminate) - C-182 - Draw Down" u="1"/>
        <s v="C - EAST - Asbestos - Asbestos Management Survey (Small Site) - C-179 - Draw Down" u="1"/>
        <s v="C - EAST - Asbestos - Asbestos Condition Survey (Large Site) - C-180 - Draw Down" u="1"/>
        <s v="C - EAST - Vent System - Vent System Pipework Corrosion/P11 Major Refurbishment - C-235 - Draw Down" u="1"/>
        <s v="C - EAST - Compressor - Compressor Bearing &amp; Coupling Major Refurbishment - C-077 - Draw Down" u="1"/>
        <s v="C - NORTH - Asbestos - Asbestos Management Survey (Large Site) - C-066 - Draw Down" u="1"/>
        <s v="C - NORTH - Asbestos - Asbestos Removal (Decontaminate) - C-182 - Draw Down" u="1"/>
        <s v="C - NORTH - Asbestos - Asbestos Management Survey (Small Site) - C-179 - Draw Down" u="1"/>
        <s v="C - NORTH - Compressor - Compressor Bearing &amp; Coupling Major Refurbishment - C-077 - Draw Down" u="1"/>
        <s v="C - NORTH - Compressor - Compressor Dry Gas Seal Major Refurbishment - C-078 - Draw Down" u="1"/>
        <s v="C - NORTH - N2 Snuffing - N2 Snuffing &amp; Molecular Seal Major Refurbishment - C-237 - Draw Down" u="1"/>
        <s v="C - LOCKERLEY COMPRESSOR STATION - Unit B - Electric Drives - Frequency Converter - Replacement" u="1"/>
        <s v="C-LOCATION 9001 Terminal-LOCATION 9001 Replace and Repair Convertor Cooling System-C-375" u="1"/>
        <s v="C-LOCATION 9001 Terminal-LOCATION 9001 Subsidence Survey-C-377" u="1"/>
        <s v="C - BISHOP AUCKLAND COMPRESSOR STATION UB - Charge Zero Loss Seal Trial" u="1"/>
        <s v="C - LOCATION 9001 TERMINAL - Remediation of defects at pit wall transitions - C-386" u="1"/>
        <s v="C -WORMINGTON COMPRESSOR STATION- Unit B - Impeller - Major Refurb - WIRP Funding" u="1"/>
        <s v="C - EAST - Mobile flaring for recompressions - Draw Down" u="1"/>
        <s v="C -WOOLER COMPRESSOR STATION- Unit A - Valve - NRV2001 - Overhaul" u="1"/>
        <s v="C -WOOLER COMPRESSOR STATION- Unit B - Valve - NRV2002 - Overhaul" u="1"/>
        <s v="C -HUNTINGDON COMPRESSOR STATION- Unit A - Valve - V2139 - Overhaul" u="1"/>
        <s v="C -DISS COMPRESSOR STATION- Station - Valve - NRV2005 - Overhaul" u="1"/>
        <s v="C -DISS COMPRESSOR STATION- Unit A - Valve - NRV2002 - Overhaul" u="1"/>
        <s v="C -WISBECH COMPRESSOR STATION- Station - Valve - 724501 - Overhaul" u="1"/>
        <s v="C - EAST -  Valve - Overhauls - Draw Down" u="1"/>
        <s v="C - KINGS LYNN COMPRESSOR STATION-  Emissions Work - C-094 Unit A - Decom" u="1"/>
        <s v="C - ABERDEEN COMPRESSOR STATION - Unit C - Seal - Major Refurb" u="1"/>
        <s v="C - EAST - Cab Ventilation Replacement - Draw Down" u="1"/>
        <s v="C - NORTH - Cab Ventilation Replacement - Draw Down" u="1"/>
        <s v="C - WEST - Cab Ventilation Replacement - Draw Down" u="1"/>
        <s v="C - EAST - Air Intake Replacement - Draw Down" u="1"/>
        <s v="C - EAST - Cab Exhaust Replacement - Draw Down" u="1"/>
        <s v="C - NORTH - Cab Exhaust Replacement - Draw Down" u="1"/>
        <s v="C - EAST - Cab Surveys (To inform T4) - Draw Down" u="1"/>
        <s v="C - EAST - Gas Generator Overhauls - Rolls-Royce Avons - Draw Down" u="1"/>
        <s v="C - NORTH - Gas Generator Overhauls - Rolls-Royce Avons - Draw Down" u="1"/>
        <s v="C - EAST - Gas Generator Overhauls - GE LM2500s - Draw Down" u="1"/>
        <s v="C - NORTH - Power Turbine Overhauls - GEC EAS1 / ERB1 - Draw Down" u="1"/>
        <s v="C - EAST - Upgrade Gas Powered Starter Motors To Electric - Draw Down" u="1"/>
        <s v="C - EAST - Install Lube Oil Conditioning Skids - Draw Down" u="1"/>
        <s v="C - EAST - Compressor Performance Testing - Draw Down" u="1"/>
        <s v="C - NORTH - Compressor Performance Testing - Draw Down" u="1"/>
        <s v="C - EAST - Fire Suppression: Replacement of Electric Water Pump System - Draw Down" u="1"/>
        <s v="C - WEST - Fire Suppression: Replacement of Electric Water Pump System - Draw Down" u="1"/>
        <s v="C - EAST - Electric Drives - Verification and Re-validation of HV Motor EX'p' pressurisation System - Draw Down" u="1"/>
        <s v="C - NORTH - Electric Drives - HV Motor Overhaul - Draw Down" u="1"/>
        <s v="C - WEST - Electric Drives - HV Motor Overhaul - Draw Down" u="1"/>
        <s v="C - NORTH - GG/PT/Compressor Oil System Major Refurb - Draw Down" u="1"/>
        <s v="C - EAST - Install BAM 2.0 - Draw Down" u="1"/>
        <s v="C - EAST - Upgrade to electic crane - Draw Down" u="1"/>
        <s v="C - NORTH - Upgrade to electic crane - Draw Down" u="1"/>
        <s v="C - NORTH - Exhaust Muffler Replacement - Draw Down" u="1"/>
        <s v="C - WEST - Exhaust Muffler Replacement - Draw Down" u="1"/>
        <s v="C - EAST - Compressor Overhauls (GE HSPT) - Draw Down" u="1"/>
        <s v="C - WEST - Compressor Overhauls (GE HSPT) - Draw Down" u="1"/>
        <s v="C - NORTH - Catalytic Converter Replacement - Draw Down" u="1"/>
        <s v="C - WEST - Replace Cab Doors - Draw Down" u="1"/>
        <s v="C - WEST - Replace flexible hose assemblies - Draw Down" u="1"/>
        <s v="C - WEST - Implement automatic stroking on Fuel Metering Valves - Draw Down" u="1"/>
        <s v="C - WEST - Replace LM2500+ Fuel Gas Valves - Draw Down" u="1"/>
        <s v="C - EAST - Replace Frame mounted Accelerometer - Draw Down" u="1"/>
        <s v="C - NORTH - Replace Frame mounted Accelerometer - Draw Down" u="1"/>
        <s v="C - NORTH - Replace PT bearing sump chip detector - Draw Down" u="1"/>
        <s v="C - WEST - Replace PT bearing sump chip detector - Draw Down" u="1"/>
        <s v="C - EAST - Update HMI with HP Recoup Calculations - Draw Down" u="1"/>
        <s v="C - NORTH - Update HMI with HP Recoup Calculations - Draw Down" u="1"/>
        <s v="C - EAST - Enhanced Emissions Control - Draw Down" u="1"/>
        <s v="C - WEST - Modify Lube Oil Drain Skid - Draw Down" u="1"/>
        <s v="C - WEST - Install seal gas booster - Draw Down" u="1"/>
        <s v="C - NORTH - Implement Anti-Choke System - Draw Down" u="1"/>
        <s v="C - EAST - Implement Slow Roll System and install staging valve monitoring - Draw Down" u="1"/>
        <s v="C - WEST - Implement Slow Roll System and install staging valve monitoring - Draw Down" u="1"/>
        <s v="C - WEST - Replace Inconel Bolts for Exhaust to transition piece - Draw Down" u="1"/>
        <s v="C - WEST - NRV replacement - Draw Down" u="1"/>
        <s v="Cu-001 - SPROATLEY TO ALDBROUGH 06 - New Connection" u="1"/>
        <s v="Cu-003 - MATCHING GREEN TO TILBURY 18 - Diversion" u="1"/>
        <s v="Cu-003 - LOCATION 09999 TO WISBECH NENE WEST 02 - Diversion" u="1"/>
        <s v="Cu-001 - COWPEN BEWLEY TO YAFFORTH 13 - Entry Connection" u="1"/>
        <s v="Cu-003 - ST NEOTS. TO LITTLE BARFORD 18 - Pipeline Diversion" u="1"/>
        <s v="Cu-003 - HUNTINGDON TO CAMBRIDGE 18 - Pipeline Diversion" u="1"/>
        <s v="Cu-001 - BROCKLESBY TO STALLINGBOROUGH 09 - Minimum Offtake Connection" u="1"/>
        <s v="Se-Shorne-ISS Refresh-Hardware &amp; Technical" u="1"/>
        <s v="Se-Barton Stacey-Input Device-GSMR Analyser Barton Stacey East -Replacement" u="1"/>
        <s v="Se-Ganstead-Input Device-GSMR Analyser Ganstead (North)-Replacement" u="1"/>
        <s v="Se-Ganstead-Input Device-GSMR Analyser Ganstead (South)-Replacement" u="1"/>
        <s v="Se-Lupton Multijunction-Input Devices-FWACV Meter-Replacement" u="1"/>
        <s v="Se-Moffat-Input Devices-Local Gas Treatment-Replacement" u="1"/>
        <s v="Se-Paull-Input Device-GSMR Analyser-Replacement" u="1"/>
        <s v="Se-Shorne-Input Device-GSMR Analyser-Stream 1-Replacement" u="1"/>
        <s v="Se-Teesside-Input Device-GSMR Analyser Teesside-Stream 1-Replacement" u="1"/>
        <s v="Se - Avonbridge - Uninteruptable Power Supply - Replacement - ISS" u="1"/>
        <s v="Se - LOCATION 09999 Terminal - Uninteruptable Power Supply - Replacement - ISS" u="1"/>
        <s v="Se - Barton Stacey MJ - Uninteruptable Power Supply - Replacement - ISS" u="1"/>
        <s v="Se - Goxhill - Uninteruptable Power Supply - Replacement - ISS" u="1"/>
        <s v="Se - Gravesend Thames North - Uninteruptable Power Supply - Replacement - ISS" u="1"/>
        <s v="Se - Hatton Multijunction - Uninteruptable Power Supply - Replacement - ISS" u="1"/>
        <s v="Se - Huntingdon - Uninteruptable Power Supply - Replacement - ISS" u="1"/>
        <s v="Se - Steppingley - Uninteruptable Power Supply - Replacement - ISS" u="1"/>
        <s v="Se-Cambridge-Control System-Station-Replacement" u="1"/>
        <s v="Se - HERBRANDSTON - ISS Technical - Refresh" u="1"/>
        <s v="Se - SLAPTON - ISS Technical - Refresh" u="1"/>
        <s v="Se - LUTTON - ISS Refresh - (CCTV Element)" u="1"/>
        <s v="Se - STEPPINGLY  - ISS Refresh - CCTV Element" u="1"/>
        <s v="Se - Kenn South - ISS Hardware - Refresh" u="1"/>
        <s v="Se - KINGS LYNN COMPRESSOR STATION - ISS Technical - Refresh" u="1"/>
        <s v="Se - KIRRIEMUIR COMPRESSOR STATION - ISS Technical - Refresh" u="1"/>
        <s v="Se - Nuffield - ISS Hardware - Refresh" u="1"/>
        <s v="Se - LOCKERLEY COMPRESSOR STATION - ISS Technical - Refresh" u="1"/>
        <s v="Se - Ottery St Mary - ISS Hardware - Refresh" u="1"/>
        <s v="Se - CHURCHOVER COMP TEE - ISS Technical - Refresh" u="1"/>
        <s v="Se - TIRLEY PRI - ISS Technical - Refresh" u="1"/>
        <s v="Se - Stapleford Tawney - ISS Hardware - Refresh" u="1"/>
        <s v="Se - Wooler - ISS Hardware - Refresh" u="1"/>
        <s v="Se - Newton Noyes - ISS Technical - Refresh" u="1"/>
        <s v="Se - Avonbridge - ISS Technical - Refresh" u="1"/>
        <s v="Se - Felindre - ISS Technical - Refresh" u="1"/>
        <s v="Se - Huntingdon - ISS Technical - Refresh" u="1"/>
        <s v="Se-Aylesbury-Control System-Unit A-Replacement" u="1"/>
        <s v="Se-Aylesbury-Control System-Unit B-Replacement" u="1"/>
        <s v="Se-Cambridge-Control System-Unit C-Replacement" u="1"/>
        <s v="Se-Wooler-Control System-Unit A-Replacement" u="1"/>
        <s v="Se-Wooler-Control System-Unit B-Replacement" u="1"/>
        <s v="Se - Teesside - ISS New Solution" u="1"/>
        <s v="Se - Aldbrough - ISS New Solution" u="1"/>
        <s v="Se - Middlestoke - ISS New Solution" u="1"/>
        <s v="Se - Lavenham - ISS New Solution" u="1"/>
        <s v="Se-Aylesbeare-Control Logic Units-Site Telemetry-Replacement" u="1"/>
        <s v="Se-Brocklesby-Control Logic Units-Site Telemetry-Replacement" u="1"/>
        <s v="Se-Churchover Tee-Control Logic Units-Site Telemetry-Replacement" u="1"/>
        <s v="Se-Eastoft-Control Logic Units-Site Telemetry-Replacement" u="1"/>
        <s v="Se-Paull Multijunction-Site Telemetry-Replacement" u="1"/>
        <s v="Se-Caldecott-Control Logic Units-Site Telemetry-Replacement" u="1"/>
        <s v="Se-Staythrope-Control Logic Units-Site Telemetry-Replacement" u="1"/>
        <s v="Se- Rye House Power Station- Station-Supply Point Metering-Replacement (1)" u="1"/>
        <s v="Se- SALTEND B.P.-Station-Supply Point Metering-Replacement(1)" u="1"/>
        <s v="Se- KINGS LYNN POWER STATION-Suppy Point Metering-Replacement (1)" u="1"/>
        <s v="Se- Tydd St. Giles-Input Device-FCV Metering-Replacement(1)" u="1"/>
        <s v="Se- Whitwell-Input Device-FCV Metering-Replacement(1)" u="1"/>
        <s v="Se- ALREWAS COMPRESSOR STATION-Input Device-FCV Metering-Replacement(1)" u="1"/>
        <s v="Se- Bishop Auckland-Input Device-FCV Metering-Replacement(1)" u="1"/>
        <s v="Se- BISHOP AUCKLAND COMPRESSOR STATION-Control System-Station-Replacement (T2 Rollover)" u="1"/>
        <s v="Se- HATTON COMPRESSOR STATION-Control System-Unit A-Replacement (T2 Rollover)" u="1"/>
        <s v="Se- KINGS LYNN COMPRESSOR STATION-Control System- Station-Replacement" u="1"/>
        <s v="Se- KINGS LYNN COMPRESSOR STATION-Control System-Unit B-Replacement" u="1"/>
        <s v="Se- KINGS LYNN COMPRESSOR STATION-Control System-Unit C-Replacement" u="1"/>
        <s v="Se- KINGS LYNN COMPRESSOR STATION-Control System-Unit D-Replacement" u="1"/>
        <s v="Se- WORMINGTON COMPRESSOR STATION-Control System-Unit A-Replacement (T2 Rollover)" u="1"/>
        <s v="Se- WORMINGTON COMPRESSOR STATION-Control System-Unit B-Replacement (T2 Rollover)" u="1"/>
        <s v="Se- STALLINGBOROUGH-Input Devices-N/A-Cyber Metering Boiler Metering" u="1"/>
        <s v="Se-SOUTRA -Control Logic Units-Site Telemetry-Replacement" u="1"/>
        <s v="Se - Royston DN Offtake - ISS New Solution" u="1"/>
        <s v="Se - Location - FAIRSTEAD - ISS New Solution" u="1"/>
        <s v="Se - Location - MORNINGTHORPE - ISS New Solution" u="1"/>
        <s v="Se - NORTH - Gas Quality Asset Lifecycle and Spares" u="1"/>
        <s v="Se - WEST - Input Devices-New - Draw Down" u="1"/>
        <s v="Se- KIRRIEMUIR COMPRESSOR STATION-Control System-Station-Replacement (T2 Rollover)" u="1"/>
        <s v="Se- ALREWAS COMPRESSOR STATION-Control System-Unit C-Replacement (T2 Rollover)" u="1"/>
        <s v="Se- LOCATION 9001 TERMINAL-Control System-Unit 1A-Replacement (T2 Rollover)" u="1"/>
        <s v="Se- LOCATION 9001 TERMINAL-Control System-Unit 1D-Replacement (T2 Rollover)" u="1"/>
        <s v="Se- FELINDRE COMPRESSOR STATION-Control System-Unit A-Replacement (T2 Rollover)" u="1"/>
        <s v="Se- FELINDRE COMPRESSOR STATION-Control System-Unit B-Replacement (T2 Rollover)" u="1"/>
        <s v="Se- FELINDRE COMPRESSOR STATION-Control System-Unit C-Replacement (T2 Rollover)" u="1"/>
        <s v="Se- NETHER KELLET COMPRESSOR STATION-Control System-Station-Replacement" u="1"/>
        <s v="Se- CHURCHOVER COMPRESSOR STATION-Control System-Unit E-Replacement" u="1"/>
        <s v="Se- Tydd St. Giles-Input Device-FCV Metering-Replacement(2)" u="1"/>
        <s v="Se- PETERBOROUGH COMPRESSOR STATION-Input Device-FCV Metering-Replacement(2)" u="1"/>
        <s v="Se- ABERDEEN COMPRESSOR STATION-Input Device-Station-Replacement(3)" u="1"/>
        <s v="Se- TIRLEY PRI-Input Devices-N/A-Replacement(1)" u="1"/>
        <s v="Se- MOFFAT OFFTAKE-Input Devices-N/A-Replacement" u="1"/>
        <s v="Se- THORNTON CURTIS 'A'-Input Devices-N/A-Replacement" u="1"/>
        <s v="Se - NORTH - Cyber Metering Strategic Spares" u="1"/>
        <s v="Se - WEST - Cyber Metering H2 Readiness - Draw Down" u="1"/>
        <s v="Se-Keadby-Control Logic Units-N/A-Replacement" u="1"/>
        <s v="Se-Peterborough Comp Tee-Control Logic Units-N/A-Replacement" u="1"/>
        <s v="Se-Coldstream-Control Logic Units-N/A-Replacement" u="1"/>
        <s v="Se-Isle of Grain-Control Logic Units-N/A-Replacement" u="1"/>
        <s v="Se-Treaddow-Control Logic Units-N/A-Replacement" u="1"/>
        <s v="Se-Bridge Farm-Control Logic Units-N/A-Replacement" u="1"/>
        <s v="Se-Tydds St Giles-Control Logic Units-N/A-Replacement" u="1"/>
        <s v="Se-Willington-Control Logic Units-N/A-Replacement" u="1"/>
        <s v="Se-Stublach-Control Logic Units-N/A-Replacement" u="1"/>
        <s v="Se-Lockerle-Control System Replacement - Unit A" u="1"/>
        <s v="Se-Lockerle-Control System Replacement - Unit B" u="1"/>
        <s v="Se-Little Barford-Control Logic Units-N/A-Replacement" u="1"/>
        <s v="Se-Medway-Control Logic Units-N/A-Replacement" u="1"/>
        <s v="Se-Eastoft-Control Logic Units-N/A-Replacement" u="1"/>
        <s v="Se-Stallinborough-Control Logic Units-N/A-Replacement" u="1"/>
        <s v="Se-Hollinsgreen-Control Logic Units-N/A-Replacement" u="1"/>
        <s v="Se-Sandy Lane-Control Logic Units-N/A-Replacement" u="1"/>
        <s v="Se-Tilbury Thames North-Control Logic Units-N/A-Replacement" u="1"/>
        <s v="Se-WORMINGTON COMPRESSOR STATION-OSS Installation-Se-77" u="1"/>
        <s v="Se-LOCATION 9001 TERMINAL-OT Asset Decommissioning-Se-74" u="1"/>
        <s v="Se-FELINDRE COMPRESSOR STATION-OT Asset Decommissioning-Se-74" u="1"/>
        <s v="Se-ABERDEEN COMPRESSOR STATION-OT Asset Decommissioning-Se-74" u="1"/>
        <s v="Se-KIRRIEMUIR COMPRESSOR STATION-OT Asset Decommissioning-Se-74" u="1"/>
        <s v="Se-Blackness-Control Logic Units-Site Telemetry-Replacement" u="1"/>
        <s v="Se-Warmingham-Control Logic Units-Site Telemetry-Replacement" u="1"/>
        <s v="Se-Ross -Control Logic Units-Site Telemetry-Replacement" u="1"/>
        <s v="Si-NT4611-LLANWRDA-Temporary Fencing-Se-66" u="1"/>
        <s v="Si-NT2730-MEDWAY POWER-Temporary Fencing-Se-66" u="1"/>
        <s v="Si-NT4355-LONGRIDGE-Temporary Fencing-Se-66" u="1"/>
        <s v="Si-WEST-Site #29-Temporary Fencing-Se-66 - Draw Down" u="1"/>
        <s v="Si-EAST-Site #30-Temporary Fencing-Se-66 - Draw Down" u="1"/>
        <s v="Si-EAST-Site #31-Temporary Fencing-Se-66 - Draw Down" u="1"/>
        <s v="Si-WEST-Site #34-Temporary Fencing-Se-66 - Draw Down" u="1"/>
        <s v="Si-EAST-Site #35-Temporary Fencing-Se-66 - Draw Down" u="1"/>
        <s v="Si-EAST-Site #37-Temporary Fencing-Se-66 - Draw Down" u="1"/>
        <s v="Si-EAST-Site #38-Temporary Fencing-Se-66 - Draw Down" u="1"/>
        <s v="Si-EAST-Site #39-Temporary Fencing-Se-66 - Draw Down" u="1"/>
        <s v="Si-WEST-Site #40-Temporary Fencing-Se-66 - Draw Down" u="1"/>
        <s v="Si-EAST-Site #44-Temporary Fencing-Se-66 - Draw Down" u="1"/>
        <s v="Si-EAST-Site #45-Temporary Fencing-Se-66 - Draw Down" u="1"/>
        <s v="SE-ISLE OF GRAIN-Physical Security for OT-Se-70" u="1"/>
        <s v="SE-THREE COCKS-Physical Security for OT-Se-70" u="1"/>
        <s v="SE-BEEFORD-Physical Security for OT-Se-70" u="1"/>
        <s v="SE-BROCKLESBY-Physical Security for OT-Se-70" u="1"/>
        <s v="SE-HOLFORD-Physical Security for OT-Se-70" u="1"/>
        <s v="SE-HORNSEA-Physical Security for OT-Se-70" u="1"/>
        <s v="SE-KEADBY POWER STATION-Physical Security for OT-Se-70" u="1"/>
        <s v="SE-MICKLE TRAFFORD-Physical Security for OT-Se-70" u="1"/>
        <s v="SE-STAYTHORPE-Physical Security for OT-Se-70" u="1"/>
        <s v="SE-WARMINGHAM-Physical Security for OT-Se-70" u="1"/>
        <s v="SE-ST. FERGUS M/J-Physical Security for OT-Se-70" u="1"/>
        <s v="SE-ABERDEEN MULTIJUNCTION-Physical Security for OT-Se-70" u="1"/>
        <s v="SE-HUNTINGDON-Physical Security for OT-Se-70" u="1"/>
        <s v="SE-KIRRIEMUIR-Physical Security for OT-Se-70" u="1"/>
        <s v="SE-PALM PAPER-Physical Security for OT-Se-70" u="1"/>
        <s v="SE-PICKERING-Physical Security for OT-Se-70" u="1"/>
        <s v="SE-TYDD ST. GILES-Physical Security for OT-Se-70" u="1"/>
        <s v="SE-WRAGG MARSH-Physical Security for OT-Se-70" u="1"/>
        <s v="SE-HADDINGTON-Physical Security for OT - Access Control-Se-71" u="1"/>
        <s v="SE-TEESSIDE-Physical Security for OT - Access Control-Se-71" u="1"/>
        <s v="SE-AYLESBURY-Physical Security for OT - Access Control-Se-71" u="1"/>
        <s v="SE-GRAVESEND THAMES SOUTH-Physical Security for OT - Access Control-Se-71" u="1"/>
        <s v="SE-SEABANK-Physical Security for OT - Access Control-Se-71" u="1"/>
        <s v="Se-LOCATION 09999-Cyber Gas Quality MQTT  - East - Draw Down" u="1"/>
        <s v="Se-LOCATION 09999-Cyber Metering MQTT Compressor Fuel Gas Sites  - REGION 004 and North - Draw Down" u="1"/>
        <s v="Se - SPROATLEY - ISS New Solution" u="1"/>
        <s v="Se- East -Control Logic Units-Control Logic Units-Site Telemetry-Replacement - Se-7 - Draw Down" u="1"/>
        <s v="Se-Cyber Boiler Metering Upgrades - East - Se-17 - Draw Down" u="1"/>
        <s v="Se - THREE COCKS - ISS New Solution" u="1"/>
        <s v="Se- Chignall St. James - ISS Block Valve Removal Closeout" u="1"/>
        <s v="Se-LOCATION 9001 TERMINAL-Input Device-GSMR Analyser-F12-Replacement" u="1"/>
        <s v="Se-LOCATION 9001 TERMINAL-Input Device-GSMR Analyser-TOM1-Replacement" u="1"/>
        <s v="Se-LOCATION 9001 TERMINAL-Input Device-GSMR Analyser-TOM2-Replacement" u="1"/>
        <s v="Se-LOCATION 9001 TERMINAL-Input Device-GSMR Analyser-f24-Replacement" u="1"/>
        <s v="Se-SHORNE-Input Device-GSMR Analyser-Stream 2-Replacement" u="1"/>
        <s v="Se-LUPTON MULTIJUNCTION-Input Device-GSMR Analyser-(North)-Stream 2-Replacement" u="1"/>
        <s v="Se-GRAVESEND THAMES SOUTH-Input Device-GSMR Analyser-Stream 2-Replacement" u="1"/>
        <s v="Se - NORTH - Cyber Minor Controls - Draw Down" u="1"/>
        <s v="Si - EAST - CCTV Network refresh - Se-69 - Draw Down" u="1"/>
        <s v="Si - NORTH - CCTV Network refresh - Se-69 - Draw Down" u="1"/>
        <s v="Se - NORTH - Cyber Analysers - Gsmr Replacement - Draw Down" u="1"/>
        <s v="Se - WEST - Cyber Analysers - Gsmr Replacement - Draw Down" u="1"/>
        <s v="Se - NORTH - Cyber Metering Compressor Fuel Gas - Draw Down" u="1"/>
        <s v="Se - EAST - Cyber Metering Flow Control Valve - Draw Down" u="1"/>
        <s v="Se - WEST - Cyber Metering Flow Control Valve - Draw Down" u="1"/>
        <s v="Se - WEST - Cyber Analysers - Local Gas Treatment - Draw Down" u="1"/>
        <s v="Se - NORTH - ISS Technical Asset Refresh - AGI Site - Draw Down" u="1"/>
        <s v="Se - EAST - ISS Technical Asset Refresh - Compressor Site - Draw Down" u="1"/>
        <s v="Se - NORTH - Cyber Metering - ISA:62443 Compliance - Draw Down" u="1"/>
        <s v="Se - WEST - Physical Security for OT - Access Control - Draw Down" u="1"/>
        <s v="Se - EAST - OT Asset Decommissioning - Draw Down" u="1"/>
        <s v="Se - WEST - OT Asset Decommissioning - Draw Down" u="1"/>
        <s v="Se - EAST - Cyber Telemetry Power Station ROV - Draw Down" u="1"/>
        <s v="Se - NORTH - Cyber Telemetry Power Station ROV - Draw Down" u="1"/>
        <s v="Se - WEST - Cyber Telemetry Power Station ROV - Draw Down" u="1"/>
        <s v="Se - EAST - Replace Batteries (VRLA) (Small) - Draw Down" u="1"/>
        <s v="Se - NORTH - Replace Batteries (VRLA) (Small) - Draw Down" u="1"/>
        <s v="Si - AVONBRIDGE COMPRESSOR STATION - EOL Satellites - Se-68" u="1"/>
        <s v="Si - LOCATION 9001 TERMINAL - EOL Satellites - Se-68" u="1"/>
        <s v="Si - BISHOP AUCKLAND COMPRESSOR STATION - CCTV Network refresh - Se-69" u="1"/>
        <s v="Si - ELVANFOOT - CCTV Network refresh - Se-69" u="1"/>
        <s v="Si - MOFFAT COMPRESSOR STATION - CCTV Network refresh - Se-69" u="1"/>
        <s v="Si - WOOLER COMPRESSOR STATION - CCTV Network refresh - Se-69" u="1"/>
        <s v="Si - HERBRANDSTON - EOL Satellites - Se-68" u="1"/>
        <s v="Si - HONEYBOURNE - EOL Satellites - Se-68" u="1"/>
        <s v="Si - LUPTON MULTIJUNCTION - EOL Satellites - Se-68" u="1"/>
        <s v="Si - MICHELMERSH - EOL Satellites - Se-68" u="1"/>
        <s v="Si - SAPPERTON - EOL Satellites - Se-68" u="1"/>
        <s v="Si - TIRLEY PRI - EOL Satellites - Se-68" u="1"/>
        <s v="Si - WARRINGTON COMPRESSOR STATION - EOL Satellites - Se-68" u="1"/>
        <s v="Si - WORMINGTON - EOL Satellites - Se-68" u="1"/>
        <s v="Si - GRAVESEND THAMES SOUTH - EOL Satellites - Se-68" u="1"/>
        <s v="Si - WILLINGTON - EOL Satellites - Se-68" u="1"/>
        <s v="Si - PETERBOROUGH COMPRESSOR STATION - EOL Satellites - Se-68" u="1"/>
        <s v="Si - LOCATION 09999 TERMINAL - EOL Satellites - Se-68" u="1"/>
        <s v="Si - STAPLEFORD TAWNEY - EOL Satellites - Se-68" u="1"/>
        <s v="Si - TILBURY THAMES NORTH - EOL Satellites - Se-68" u="1"/>
        <s v="Si - GOXHILL - CCTV Network refresh - Se-69" u="1"/>
        <s v="Si - WILLINGTON - CCTV Network refresh - Se-69" u="1"/>
        <s v="Si - KINGS LYNN COMPRESSOR STATION - CCTV Network refresh - Se-69" u="1"/>
        <s v="Si - LUTTON - CCTV Network refresh - Se-69" u="1"/>
        <s v="Si - PAULL MULTIJUNCTION - CCTV Network refresh - Se-69" u="1"/>
        <s v="Si - WISBECH COMPRESSOR STATION - CCTV Network refresh - Se-69" u="1"/>
        <s v="Si - LOCATION 09999 TERMINAL - CCTV Network refresh - Se-69" u="1"/>
        <s v="Si - SHORNE - CCTV Network refresh - Se-69" u="1"/>
        <s v="Si - STAPLEFORD TAWNEY - CCTV Network refresh - Se-69" u="1"/>
        <s v="Si - TILBURY THAMES NORTH - CCTV Network refresh - Se-69" u="1"/>
        <s v="Si - AYLESBURY COMPRESSOR STATION - CCTV Network refresh - Se-69" u="1"/>
        <s v="Si - CHURCHOVER MULTIJUNCTION - CCTV Network refresh - Se-69" u="1"/>
        <s v="Si - LUPTON MULTIJUNCTION - CCTV Network refresh - Se-69" u="1"/>
        <s v="Si - NETHER KELLET COMPRESSOR STATION - CCTV Network refresh - Se-69" u="1"/>
        <s v="Si - NEWBOLD PACEY - CCTV Network refresh - Se-69" u="1"/>
        <s v="Si - SHOCKLACH - CCTV Network refresh - Se-70" u="1"/>
        <s v="Si - SLAPTON - CCTV Network refresh - Se-71" u="1"/>
        <s v="Si - TREALES - CCTV Network refresh - Se-73" u="1"/>
        <s v="Si - HAMS LANE - CCTV Network refresh - Se-69" u="1"/>
        <s v="Se - KINGS LYNN POWER STATION - Station - Supply Point Metering - Replacement (2)" u="1"/>
        <s v="Se - OTTERY ST. MARY - Control Logic Units - Site Telemetry  - Replacement" u="1"/>
        <s v="Se - ELWORTH - Telemetry and Kiosk  Replacement" u="1"/>
        <s v="Se-WORMINGTON COMPRESSOR STATION-Input Device-Station-Replacement(1)" u="1"/>
        <s v="Se-WISBECH COMPRESSOR STATION-Input Device-Station-Replacement(1)" u="1"/>
        <s v="Se-WOOLER COMPRESSOR STATION-Input Device-Station-Replacement(1)" u="1"/>
        <s v="Se-LONGTOWN-Input Device-FCV Metering-Replacement(1)" u="1"/>
        <s v="Se-TIRLEY-Input Device-FCV Metering-Replacement(2)" u="1"/>
        <s v="Se- Weston Point-Station-Supply Point Metering-Replacement (2)" u="1"/>
        <s v="Se- Rye House Power Station- Station-Supply Point Metering-Replacement (2)" u="1"/>
        <s v="Si - NORTH - Temp CCTV - Se-67 - Draw Down" u="1"/>
        <s v="Millbrook Power MOC" u="1"/>
        <s v="Gas Quality 2023" u="1"/>
        <s v="T2_NARC_2022" u="1"/>
        <s v="T2_Emissions_2021_Wormington MCPD" u="1"/>
        <s v="T2_Decommissioning_2021_Gowkhall AGI LGT Removal" u="1"/>
        <s v="T2_Pipelines_Reduced Depth of Cover 2022" u="1"/>
        <s v="T2_Pipelines_CIP Surveys 2022-25" u="1"/>
        <s v="T2_Telemetry Years 2 and 3" u="1"/>
        <s v="T2_Pipelines_ILI &amp; CIPS Interventions 2022" u="1"/>
        <s v="T2_Pipelines_ILI &amp; CIPS Interventions 2023-25" u="1"/>
        <s v="Lockerley EC&amp;I systems delivery_T2_Control System_2021" u="1"/>
        <s v="T2_Control System_2021_Minor Control Systems" u="1"/>
        <s v="T2_Customer_2021_A66 Penrith, Feeders 11 and 15 protection" u="1"/>
        <s v="T2_Customer_2021_Stallingborough Minor Modification" u="1"/>
        <s v="Emmissions Reduction MW at Huntingdon CS" u="1"/>
        <s v="Wainstones Energy Ltd, Trafford Power, Manchester" u="1"/>
        <s v="Medium Palm Paper, Kings Lynn" u="1"/>
        <s v="PWS for AH works at Pboro CS" u="1"/>
        <s v="Asset Health Works at Huntingdon Compressor Station" u="1"/>
        <s v="Jackdaw Crag Quarry Disconnection" u="1"/>
        <s v="Peterborough PS - A2O Mod" u="1"/>
        <s v="Cilfrew Boiler Project" u="1"/>
        <s v="F13 Diversion A1M Northumberland HE" u="1"/>
        <s v="Hirwuan Power MOC" u="1"/>
        <s v="A13 Diversion Thurrock County Council" u="1"/>
        <s v="Lower Thames Crossing" u="1"/>
        <s v="A428 Black Cat Junction,  Feeder 18 diversion" u="1"/>
        <s v="LOCATION 09999 Future Operating Strategy" u="1"/>
        <s v="Sellafield Full Connection Offer" u="1"/>
        <s v="Statera Saltholme Exit Connection" u="1"/>
        <s v="T1_Horndon Pigtrap B" u="1"/>
        <s v="Brentwood development, Fdr 18 diversion" u="1"/>
        <s v="P - LOCATION 09999 - Depth of Cover defect resolution project - Draw Down" u="1"/>
        <s v="P - Feeder 09 - EM09BRST - BROCKLESBY - STALLINGBORO - AC Protection Project" u="1"/>
        <s v="P - Feeder 02 - WA02DODY - DOWLAIS-DYFFRYN CLYDACH - AC Protection Project" u="1"/>
        <s v="P - Feeder 20 - SW20ILKE - ILCHESTER-KENN (SOUTH) - AC Protection Project" u="1"/>
        <s v="P - Feeder 06 - NO06LIBI - LITTLE BURDON-BILLINGHAM - AC Protection Project" u="1"/>
        <s v="P - Feeder 21 - NW21TRBU - TREALES-BURSCOUGH - AC Protection Project" u="1"/>
        <s v="P - Feeder 04 - EM04BLAL - BLABY-ALREWAS - AC interference PIG tool- to be added to PSSR ILI run - FY29" u="1"/>
        <s v="P - Feeder 09 - EM09BRST - BROCKLESBY - STALLINGBORO - AC interference PIG tool- to be added to PSSR ILI run - FY28" u="1"/>
        <s v="P - Feeder 02 - WA02DODY - DOWLAIS-DYFFRYN CLYDACH - AC interference PIG tool- to be added to PSSR ILI run - FY28" u="1"/>
        <s v="P - Feeder 14 - SW14PUSE - PUCKLECHURCH-SEABANK - AC interference PIG tool- to be added to PSSR ILI run - FY30" u="1"/>
        <s v="P - Feeder 21 - NW21TRBU - TREALES-BURSCOUGH - AC interference PIG tool- to be added to PSSR ILI run - FY30" u="1"/>
        <s v="P - Feeder 07 - YO07CASU - SUSWORTH-CAWOOD - Cathodic Protection - AC Mitigation Survey and design" u="1"/>
        <s v="P - Feeder 21 - NW21CATR - CARNFORTH-TREALES - Cathodic Protection - AC Mitigation Survey and design" u="1"/>
        <s v="P - Feeder 14 - WM14CHAL - ALREWAS-CHURCHOVER - Cathodic Protection - AC Mitigation Survey and design" u="1"/>
        <s v="P - Feeder 24 - EM24HASI - HATTON - SILK WILLOUGHBY - Cathodic Protection - AC Mitigation Survey and design" u="1"/>
        <s v="P - Feeder 12 - NO12LOBI - LONGTOWN-BISHOP AUCKLAND - Cathodic Protection - AC Mitigation Survey and design" u="1"/>
        <s v="P - Feeder 15 - NO15LOPL - LONGTOWN-PLUMPTON - Cathodic Protection - AC Mitigation Survey and design" u="1"/>
        <s v="P - Feeder 07 - EA07OLCH - OLD WARDEN-CHALGROVE - Cathodic Protection - AC Mitigation Survey and design" u="1"/>
        <s v="P - Feeder 05 - EA05ROLU - ROXWELL-ABRIDGE-LUXBOROUGH - Cathodic Protection - AC Mitigation Survey and design" u="1"/>
        <s v="P - Feeder 04 - NW04WAAU - WARBURTON-AUDLEY - Cathodic Protection - AC Mitigation Survey and design" u="1"/>
        <s v="P - Feeder 14 - SW14WOPU - WORMINGTON-PUCKLECHURCH - Cathodic Protection - AC Mitigation Survey and design" u="1"/>
        <s v="P - Feeder 14 - CHWO14 - Legacy Defect - Watercourse crossings (defect resolution)- 1542323 defect num" u="1"/>
        <s v="P - Feeder 04 - AUAL04 - Legacy Defect - Watercourse crossings (defect resolution)- 1074972 defect num" u="1"/>
        <s v="P - Feeder 11 - GRSA11 - Legacy Defect - Watercourse crossings (defect resolution)- 867173 defect num" u="1"/>
        <s v="P - Feeder 11 - SABL11 - Legacy Defect - Watercourse crossings (defect resolution)- 868547 defect num" u="1"/>
        <s v="P - Feeder 05 - BAYE05 - Legacy Defect - Depth of cover (Mitigations of defects)- 17998 defect num" u="1"/>
        <s v="P - Feeder 03 - BARO03 - Legacy Defect - Depth of cover (Mitigations of defects)- 18562 defect num" u="1"/>
        <s v="P - LOCATION 09999 Road Crossings- Excavation Surveys - 5 x road crossings" u="1"/>
        <s v="P - LOCATION 09999 Road Crossings- Excavation Surveys - 5 x road crossings - Feeder 4 Outage" u="1"/>
        <s v="P - LOCATION 09999 Road Crossings- Excavation Surveys - 5 x road crossings - Feeder 27 Outage" u="1"/>
        <s v="P - Feeder 12 - KIBA12 - Legacy Defect - Nitrogen Sleeve Minor Remediation - 6001548" u="1"/>
        <s v="P - Feeder 11 - BALO11 - Legacy Defect - Nitrogen Sleeve Minor Remediation - 13619" u="1"/>
        <s v="P - Feeder 02 - DODY02 - Legacy Defect - Nitrogen Sleeve Minor Remediation - 7374" u="1"/>
        <s v="P - Feeder 07 - MIBR07 - Legacy Defect - Nitrogen Sleeve Minor Remediation - 16994" u="1"/>
        <s v="P - Feeder 02 - DODY02 - Legacy Defect - Nitrogen Sleeve Minor Remediation - 16991" u="1"/>
        <s v="P - Feeder 07 - BAMA07 - Legacy Defect - Nitrogen Sleeve Minor Remediation - 16990" u="1"/>
        <s v="P - Feeder 14 - AUSH14 - Legacy Defect - Nitrogen Sleeve Minor Remediation - 11412" u="1"/>
        <s v="P - Feeder 14 - AUSH14 - Legacy Defect - Nitrogen Sleeve Minor Remediation - 11483" u="1"/>
        <s v="P - Feeder 13 - COYA13 - Legacy Defect - Nitrogen Sleeve Minor Remediation - 11410" u="1"/>
        <s v="P - Feeder 07 - BAMA07 - Legacy Defect - Nitrogen Sleeve Minor Remediation - 13582" u="1"/>
        <s v="P - Feeder 07 - CHBA07 - Legacy Defect - Nitrogen Sleeve Minor Remediation - 13575" u="1"/>
        <s v="P - Feeder 07 - CHBA07 - Legacy Defect - Nitrogen Sleeve Minor Remediation - 22121" u="1"/>
        <s v="P - Feeder 07 - CHBA07 - Legacy Defect - Nitrogen Sleeve Minor Remediation - 17056" u="1"/>
        <s v="P - Feeder 07 - CHBA07 - Legacy Defect - Nitrogen Sleeve Minor Remediation - 13574" u="1"/>
        <s v="P - Feeder 07 - CHBA07 - Legacy Defect - Nitrogen Sleeve Minor Remediation - 13572" u="1"/>
        <s v="P - Feeder 07 - CHBA07 - Legacy Defect - Nitrogen Sleeve Minor Remediation - 17052" u="1"/>
        <s v="P - Feeder 07 - CHBA07 - Legacy Defect - Nitrogen Sleeve Minor Remediation - 22123" u="1"/>
        <s v="P - Feeder 11 - GRSA11 - Legacy Defect - Nitrogen Sleeve Minor Remediation - 11403" u="1"/>
        <s v="P - Feeder 07 - CHBA07 - Legacy Defect - Nitrogen Sleeve Minor Remediation - 13613" u="1"/>
        <s v="P - Feeder 07 - CHBA07 - Legacy Defect - Nitrogen Sleeve Minor Remediation - 16993" u="1"/>
        <s v="P - Feeder 02 - TRDO02 - Legacy Defect - Nitrogen Sleeve Minor Remediation - 11367" u="1"/>
        <s v="P - Feeder 07 - CHBA07 - Legacy Defect - Nitrogen Sleeve Minor Remediation - 7469" u="1"/>
        <s v="P - Feeder 07 - OLCH07 - Legacy Defect - Nitrogen Sleeve Minor Remediation - 7407" u="1"/>
        <s v="P - Feeder 07 - OLCH07 - Legacy Defect - Nitrogen Sleeve Minor Remediation - 7411" u="1"/>
        <s v="P - Feeder 07 - OLCH07 - Legacy Defect - Nitrogen Sleeve Minor Remediation - 7420" u="1"/>
        <s v="P - Feeder 07 - CHBA07 - Legacy Defect - Nitrogen Sleeve Minor Remediation - 7482" u="1"/>
        <s v="P - Feeder 07 - CHBA07 - Legacy Defect - Nitrogen Sleeve Minor Remediation - 7486" u="1"/>
        <s v="P - Feeder 10 - STAB10 - Legacy Defect - Nitrogen Sleeve Minor Remediation - 7514" u="1"/>
        <s v="P - Feeder 11 - STAB11 - Legacy Defect - Nitrogen Sleeve Minor Remediation - 7542" u="1"/>
        <s v="P - Feeder 07 - TYOL07 - Legacy Defect - Nitrogen Sleeve Minor Remediation - 7362" u="1"/>
        <s v="P - Feeder 07 - BAMA07 - Legacy Defect - Nitrogen Sleeve Minor Remediation - 7295" u="1"/>
        <s v="P - Feeder 07 - BAMA07 - Legacy Defect - Nitrogen Sleeve Minor Remediation - 7300" u="1"/>
        <s v="P - Feeder 14 - AUSH14 - Legacy Defect - Nitrogen Sleeve Minor Remediation - 7315" u="1"/>
        <s v="P - Feeder 07 - TYOL07 - Legacy Defect - Nitrogen Sleeve Minor Remediation - 7346" u="1"/>
        <s v="P - Feeder 07 - TYOL07 - Legacy Defect - Nitrogen Sleeve Minor Remediation - 7349" u="1"/>
        <s v="P - Feeder 07 - TYOL07 - Legacy Defect - Nitrogen Sleeve Minor Remediation - 7361" u="1"/>
        <s v="P - Feeder 07 - TYOL07 - Legacy Defect - Nitrogen Sleeve Minor Remediation - 7355" u="1"/>
        <s v="P - Feeder 07 - TYOL07 - Legacy Defect - Nitrogen Sleeve Minor Remediation - 7329" u="1"/>
        <s v="P - Feeder 07 - TYOL07 - Legacy Defect - Nitrogen Sleeve Minor Remediation - 7332" u="1"/>
        <s v="P - Feeder 07 - TYOL07 - Legacy Defect - Nitrogen Sleeve Minor Remediation - 7348" u="1"/>
        <s v="P - Feeder 07 - TYOL07 - Legacy Defect - Nitrogen Sleeve Minor Remediation - 7350" u="1"/>
        <s v="P - Feeder 14 - AUSH14 - Legacy Defect - Nitrogen Sleeve Minor Remediation - 7317" u="1"/>
        <s v="P - Feeder 07 - TYOL07 - Legacy Defect - Nitrogen Sleeve Minor Remediation - 7370" u="1"/>
        <s v="P - Feeder 07 - TYOL07 - Legacy Defect - Nitrogen Sleeve Minor Remediation - 7328" u="1"/>
        <s v="P - Feeder 05 - SHIS05 - Legacy Defect - Nitrogen Sleeve Minor Remediation - 7436" u="1"/>
        <s v="P - Feeder 07 - TYOL07 - Legacy Defect - Nitrogen Sleeve Minor Remediation - 7334" u="1"/>
        <s v="P - Feeder 07 - TYOL07 - Legacy Defect - Nitrogen Sleeve Minor Remediation - 7359" u="1"/>
        <s v="P - Feeder 10 - STAB10 - Legacy Defect - Nitrogen Sleeve Minor Remediation - 7510" u="1"/>
        <s v="P - Feeder 12 - STAB12 - Legacy Defect - Nitrogen Sleeve Minor Remediation - 7556" u="1"/>
        <s v="P - Feeder 10 - STAB10 - Legacy Defect - Nitrogen Sleeve Minor Remediation - 7518" u="1"/>
        <s v="P - Feeder 10 - STAB10 - Legacy Defect - Nitrogen Sleeve Minor Remediation - 7520" u="1"/>
        <s v="P - Feeder 14 - AUSH14 - Legacy Defect - Nitrogen Sleeve Minor Remediation - 7322" u="1"/>
        <s v="P - Feeder 07 - CHBA07 - Legacy Defect - Nitrogen Sleeve Minor Remediation - 7483" u="1"/>
        <s v="P - Feeder 11 - STAB11 - Legacy Defect - Nitrogen Sleeve Minor Remediation - 7543" u="1"/>
        <s v="P - Feeder 10 - STAB10 - Legacy Defect - Nitrogen Sleeve Minor Remediation - 7522" u="1"/>
        <s v="P - Feeder 07 - BAMA07 - Legacy Defect - Nitrogen Sleeve Minor Remediation - 7290" u="1"/>
        <s v="P - Feeder 07 - BAMA07 - Legacy Defect - Nitrogen Sleeve Minor Remediation - 7302" u="1"/>
        <s v="P - Feeder 14 - AUSH14 - Legacy Defect - Nitrogen Sleeve Minor Remediation - 7316" u="1"/>
        <s v="P - Feeder 07 - CHBA07 - Legacy Defect - Nitrogen Sleeve Minor Remediation - 7470" u="1"/>
        <s v="P - Feeder 07 - CHBA07 - Legacy Defect - Nitrogen Sleeve Minor Remediation - 7494" u="1"/>
        <s v="P - Feeder 07 - OLCH07 - Legacy Defect - Nitrogen Sleeve Minor Remediation - 7419" u="1"/>
        <s v="P - Feeder 07 - BAMA07 - Legacy Defect - Nitrogen Sleeve Minor Remediation - 7285" u="1"/>
        <s v="P - Feeder 07 - OLCH07 - Legacy Defect - Nitrogen Sleeve Minor Remediation - 7413" u="1"/>
        <s v="P - Feeder 07 - CHBA07 - Legacy Defect - Nitrogen Sleeve Minor Remediation - 7481" u="1"/>
        <s v="P - Feeder 07 - BAMA07 - Legacy Defect - Nitrogen Sleeve Minor Remediation - 7306" u="1"/>
        <s v="P - Feeder 07 - OLCH07 - Legacy Defect - Nitrogen Sleeve Minor Remediation - 7406" u="1"/>
        <s v="P - Feeder 07 - OLCH07 - Legacy Defect - Nitrogen Sleeve Minor Remediation - 7418" u="1"/>
        <s v="P - Feeder 07 - CHBA07 - Legacy Defect - Nitrogen Sleeve Minor Remediation - 7459" u="1"/>
        <s v="P - Feeder 07 - BAMA07 - Legacy Defect - Nitrogen Sleeve Minor Remediation - 7274" u="1"/>
        <s v="P - Feeder 07 - BAMA07 - Legacy Defect - Nitrogen Sleeve Minor Remediation - 7275" u="1"/>
        <s v="P - Feeder 07 - BAMA07 - Legacy Defect - Nitrogen Sleeve Minor Remediation - 7296" u="1"/>
        <s v="P - Feeder 07 - OLCH07 - Legacy Defect - Nitrogen Sleeve Minor Remediation - 7408" u="1"/>
        <s v="P - Feeder 07 - CHBA07 - Legacy Defect - Nitrogen Sleeve Minor Remediation - 7458" u="1"/>
        <s v="P - Feeder 07 - CHBA07 - Legacy Defect - Nitrogen Sleeve Minor Remediation - 7466" u="1"/>
        <s v="P - Feeder 07 - CHBA07 - Legacy Defect - Nitrogen Sleeve Minor Remediation - 7468" u="1"/>
        <s v="P - Feeder 07 - CHBA07 - Legacy Defect - Nitrogen Sleeve Minor Remediation - 7474" u="1"/>
        <s v="P - Feeder 07 - CHBA07 - Legacy Defect - Nitrogen Sleeve Minor Remediation - 17047" u="1"/>
        <s v="P - Feeder 07 - CHBA07 - Legacy Defect - Nitrogen Sleeve Minor Remediation - 17051" u="1"/>
        <s v="P - Feeder 07 - CHBA07 - Legacy Defect - Nitrogen Sleeve Minor Remediation - 11088" u="1"/>
        <s v="P - Feeder 07 - BAMA07 - Legacy Defect - Nitrogen Sleeve Minor Remediation - 17038" u="1"/>
        <s v="P - Feeder 07 - CHBA07 - Legacy Defect - Nitrogen Sleeve Minor Remediation - 17041" u="1"/>
        <s v="P - Feeder 07 - CHBA07 - Legacy Defect - Nitrogen Sleeve Minor Remediation - 17037" u="1"/>
        <s v="P - Feeder 12 - LOBI12 - Legacy Defect - Nitrogen Sleeve Minor Remediation - 11083" u="1"/>
        <s v="P - Feeder 02 - WOTR02 - Legacy Defect - Nitrogen Sleeve Minor Remediation - 13535" u="1"/>
        <s v="P - Feeder 11 - LOGR11 - Legacy Defect - Nitrogen Sleeve Minor Remediation - 7452" u="1"/>
        <s v="P - Feeder 11 - LOGR11 - Legacy Defect - Nitrogen Sleeve Minor Remediation - 11098" u="1"/>
        <s v="P - Feeder 11 - SABL11 - Legacy Defect - Nitrogen Sleeve Minor Remediation - 15165" u="1"/>
        <s v="P - Feeder 10 - KIBA10 - Legacy Defect - Nitrogen Sleeve Minor Remediation - 11466" u="1"/>
        <s v="P - Feeder 12 - KIBA12 - Legacy Defect - Nitrogen Sleeve Minor Remediation - 11396" u="1"/>
        <s v="P - Feeder 12 - KIBA12 - Legacy Defect - Nitrogen Sleeve Minor Remediation - 11471" u="1"/>
        <s v="P - Feeder 13 - COYA13 - Legacy Defect - Nitrogen Sleeve Minor Remediation - 11428" u="1"/>
        <s v="P - Feeder 13 - COYA13 - Legacy Defect - Nitrogen Sleeve Minor Remediation - 11427" u="1"/>
        <s v="P - Feeder 13 - COYA13 - Legacy Defect - Nitrogen Sleeve Minor Remediation - 11429" u="1"/>
        <s v="P - Feeder 13 - COYA13 - Legacy Defect - Nitrogen Sleeve Minor Remediation - 11389" u="1"/>
        <s v="P - Feeder 13 - COYA13 - Legacy Defect - Nitrogen Sleeve Minor Remediation - 11349" u="1"/>
        <s v="P - Feeder 13 - COYA13 - Legacy Defect - Nitrogen Sleeve Minor Remediation - 11348" u="1"/>
        <s v="P - Feeder 12 - STAB12 - Legacy Defect - Nitrogen Sleeve Minor Remediation - 11423" u="1"/>
        <s v="P - Feeder 04 - AUSH04 - Legacy Defect - Nitrogen Sleeve Minor Remediation - 11346" u="1"/>
        <s v="P - Feeder 12 - BALO12 - Legacy Defect - Nitrogen Sleeve Minor Remediation - 7271" u="1"/>
        <s v="P - Feeder 13 - HASI13 - Legacy Defect - Nitrogen Sleeve Minor Remediation - 11101" u="1"/>
        <s v="P - Feeder 04 - SHWE04 - Legacy Defect - Nitrogen Sleeve Minor Remediation - 11344" u="1"/>
        <s v="P - Feeder 04 - WAAU04 - Legacy Defect - Nitrogen Sleeve Minor Remediation - 11345" u="1"/>
        <s v="P - Feeder 07 - CHBA07 - Legacy Defect - Nitrogen Sleeve Minor Remediation - 11478" u="1"/>
        <s v="P - Feeder 04  -  BLABY-ALREWAS -  BLAL04 - ILI Inspection 1 - FY29" u="1"/>
        <s v="P - Feeder 05  -  LOCATION 09999-YELVERTON -  BAYE05 - ILI Inspection 1 Dig 1 - FY29" u="1"/>
        <s v="P - Feeder 05  -  GRAVESEND THAMES S-TATSFLD -  GRTA05 - ILI Inspection 1 - FY31" u="1"/>
        <s v="P - Feeder 05  -  STOWMARKET-BRAINTREE -  STBR05 - ILI Inspection 1 - FY28" u="1"/>
        <s v="P - Feeder 07  -  BLYBOROUGH-BRIGG -  BLBR07 - ILI Inspection 1 - FY29" u="1"/>
        <s v="P - Feeder 07  -  BLYBOROUGH-BRIGG -  BLBR07 - ILI Inspection 1 Dig 1 - FY31" u="1"/>
        <s v="P - Feeder 07  -  CHALGROVE-BARTON STACEY -  CHBA07 - ILI Inspection 1 Dig 2 - FY29" u="1"/>
        <s v="P - Feeder 07  -  GOSBERTON - HATTON -  HAGO07 - ILI Inspection 1 Dig 1 - FY29" u="1"/>
        <s v="P - Feeder 07  -  MICHELMERSH-BRAISHFIELD -  MIBR07 - ILI Inspection 1 - FY30" u="1"/>
        <s v="P - Feeder 07  -  PANNAL-CAWOOD -  PACA07 - ILI Inspection 1 Dig 1 - FY31" u="1"/>
        <s v="P - Feeder 07  -  SUSWORTH TRENT CROSSING S -  0 - ILI Inspection 1 - FY28" u="1"/>
        <s v="P - Feeder 09  -  BARTON STACEY-LOCKERLEY -  BALO09 - ILI 2025 inspection Dig 1  - FY28" u="1"/>
        <s v="P - Feeder 09  -  BROCKLESBY - STALLINGBORO -  BRST09 - ILI Inspection 1 - FY28" u="1"/>
        <s v="P - Feeder 09  -  PETERBOROUGH-WHITWELL -  PEWH09 - ILI Inspection 1 Dig 1 - FY30" u="1"/>
        <s v="P - Feeder 09  -  PETERBOROUGH-WHITWELL -  PEWH09 - ILI Inspection 1 Dig 2 - FY30" u="1"/>
        <s v="P - Feeder 09  -  SILK WILLOUGHBY - STAYTHORPE -  SIST09 - ILI Inspection 1 Dig 2 - FY29" u="1"/>
        <s v="P - Feeder 11  -  ABERDEEN-KIRRIEMUIR -  ABKI11 - ILI Inspection 1 Dig 3 - FY30" u="1"/>
        <s v="P - Feeder 11  -  BATHGATE-LONGTOWN -  BALO11 - ILI FY25 inspection Dig 2 - FY27" u="1"/>
        <s v="P - Feeder 11  -  BATHGATE-LONGTOWN -  BALO11 - ILI FY25 inspection Dig 6 - FY27" u="1"/>
        <s v="P - Feeder 11  -  KIRRIEMUIR-BATHGATE -  KIBA11 - ILI Inspection 1 Dig 2 - FY30" u="1"/>
        <s v="P - Feeder 11  -  LONGTOWN-GRAYRIGG -  LOGR11 - ILI Inspection 1 - FY27" u="1"/>
        <s v="P - Feeder 12  -  BATHGATE-LONGTOWN -  BALO12 - ILI FY25 inspection Dig 4 - FY27" u="1"/>
        <s v="P - Feeder 12  -  BATHGATE-LONGTOWN -  BALO12 - ILI FY25 inspection Dig 6 - FY27" u="1"/>
        <s v="P - Feeder 12  -  KIRRIEMUIR-BATHGATE -  KIBA12 - ILI FY25 inspection Dig 3 - FY27" u="1"/>
        <s v="P - Feeder 12  -  KIRRIEMUIR-BATHGATE -  KIBA12 - ILI FY25 inspection Dig 4 - FY27" u="1"/>
        <s v="P - Feeder 13  -  ARBROATH-HADDINGTON -  ARHA13 - ILI Inspection 1 - FY27" u="1"/>
        <s v="P - Feeder 13  -  COWPEN BEWLEY-YAFFORTH -  COYA13 - ILI Inspection 1 - FY28" u="1"/>
        <s v="P - Feeder 13  -  COWPEN BEWLEY-YAFFORTH -  COYA13 - ILI Inspection 1 Dig 1 - FY30" u="1"/>
        <s v="P - Feeder 13  -  COWPEN BEWLEY-YAFFORTH -  COYA13 - ILI Inspection 1 Dig 3 - FY30" u="1"/>
        <s v="P - Feeder 13  -  SIMPRIM-CORBRIDGE -  SICO13 - ILI Inspection 1 Dig 2 - FY29" u="1"/>
        <s v="P - Feeder 13  -  SIMPRIM-CORBRIDGE -  SICO13 - ILI Inspection 1 Dig 3 - FY29" u="1"/>
        <s v="P - Feeder 13  -  LOCATION 9001-ABERDEEN -  STAB13 - ILI Inspection 1 Placeholder Dig 1 - FY31" u="1"/>
        <s v="P - Feeder 14  -  ALREWAS-CHURCHOVER -  CHAL14 - ILI Inspection 1 Dig 1 - FY29" u="1"/>
        <s v="P - Feeder 14  -  ALREWAS-CHURCHOVER -  CHAL14 - ILI Inspection 1 Dig 2 - FY29" u="1"/>
        <s v="P - Feeder 14  -  PUCKLECHURCH-ILCHESTER -  PUIL14 - ILI Inspection 1 - FY28" u="1"/>
        <s v="P - Feeder 14  -  PUCKLECHURCH-ILCHESTER -  PUIL14 - ILI Inspection 1 Dig 2 - FY30" u="1"/>
        <s v="P - Feeder 14  -  PUCKLECHURCH-SEABANK -  PUSE14 - ILI Inspection 1 - FY30" u="1"/>
        <s v="P - Feeder 18  -  HUNTINGDON-CAMBRIDGE -  HUCA18 - ILI Inspection 1 - FY28" u="1"/>
        <s v="P - Feeder 18  -  HUNTINGDON-CAMBRIDGE -  HUCA18 - ILI Inspection 1 Dig 1 - FY30" u="1"/>
        <s v="P - Feeder 18  -  MATCHING GREEN-RYE HOUSE -  MARY18 - ILI Inspection 2 - FY31" u="1"/>
        <s v="P - Feeder 18  -  MATCHING GREEN-TILBURY -  MATI18 - ILI 2025 inspection Dig 2 - FY28" u="1"/>
        <s v="P - Feeder 18 - SHORNE TO FARNINGHAM  - SHFA18 - ILI Inspection 1 - FY27" u="1"/>
        <s v="P - Feeder 20  -  WORMINGTON-SAPPERTON -  WOSA20 - ILI Inspection 1 Dig 2 - FY29" u="1"/>
        <s v="P - Feeder 21  -  MAWDESLEY-WARBURTON -  MAWA21 - Inspection Dig 2 - FY28" u="1"/>
        <s v="P - Feeder 21  -  TREALES-BURSCOUGH -  TRBU21 - ILI Inspection 1 - FY30" u="1"/>
        <s v="P - Feeder 24  -  EASINGTON-PAULL -  EAPA24 - ILI Inspection 1 - FY27" u="1"/>
        <s v="P - Feeder 24  -  EASINGTON-PAULL -  EAPA24 - ILI Inspection 1 Dig 1 - FY29" u="1"/>
        <s v="P - Feeder 25  -  BRIDGE FARM-MICKLE TRAFFORD -  BRMI25 - ILI Inspection 1 - FY31" u="1"/>
        <s v="P - Feeder 06  -  BURTON AGNES TO PAULL -  BUPA06 -  OLI/4 Pipeline Defect Remediation 1 - FY29" u="1"/>
        <s v="P - Feeder 09  -   EADI09 -  OLI/4 Pipeline Defect Remediation 1- EASINGTON TO CENTRICA SURVEILLANCE SECTION - FY30" u="1"/>
        <s v="P - Feeder 09  -  EASINGTON TO DIMLINGTON -  EADI09 - OLI/4 Inspection 1- SURVEILLANCE SECTION - FY31" u="1"/>
        <s v="P - Feeder 09  -  EASINGTON TO LANGELED -  EALA09 - OLI/4 Inspection 1 - FY31" u="1"/>
        <s v="P - Feeder 02  -  LOCATION 09999 TO WISBECH NENE WEST -  BAWI02 - OLI/4 Inspection 1 - DISCHARGE LEG FROM KINGS LYNN COMP - FY29" u="1"/>
        <s v="P - Feeder 02  -  BAWI02 -  OLI/4 Pipeline Defect Remediation 1 - DISCHARGE LEG FROM KINGS LYNN COMP - FY31" u="1"/>
        <s v="P - Feeder 13  -  ST. FERGUS TO ABERDEEN -  STAB13 -  OLI/4 Pipeline Defect Remediation 1 - FY30" u="1"/>
        <s v="P - Feeder 12  -  KIRRIEMUIR TO BATHGATE -  KIBA12 - OLI/4 Inspection 1 - FY30" u="1"/>
        <s v="P - Feeder 21  -  MICKLE TRAFFORD TO DEESIDE -  MIDE21 - OLI/4 Inspection 1 - BURTON POINT SPUR - FY27" u="1"/>
        <s v="P - Feeder 21  -  MICKLE TRAFFORD TO DEESIDE -  MIDE21 - OLI/4 Inspection 1 - SHOTWICK HOT TAP TO SHOTWICK AGI   - FY27" u="1"/>
        <s v="P - Feeder 21  -  MICKLE TRAFFORD TO DEESIDE -  MIDE21 - OLI/4 Inspection 2 - SHOTWICK HOT TAP TO SHOTWICK AGI   - FY31" u="1"/>
        <s v="P - Feeder 04  -  AUDLEY TO ALREWAS -  AUAL04 - OLI/4 Inspection 1 - FY27" u="1"/>
        <s v="P - Feeder 04  -  AUDLEY TO ALREWAS -  AUAL04 -  OLI/4 Pipeline Defect Remediation 1 - FY29" u="1"/>
        <s v="P - Feeder 04  -  SHOCKLACH - MAELOR -  SHMA04 - OLI/4 Inspection 1 - FY27" u="1"/>
        <s v="P - Feeder 14  -  CHWO14 -  OLI/4 Pipeline Defect Remediation 1 - CHURCHOVER COMP DISCHARGE LEG - FY31" u="1"/>
        <s v="P - Feeder 28  -  FELINDRE TO CILFREW -  FECI28 -  OLI/4 Pipeline Defect Remediation 1 - FY31" u="1"/>
        <s v="P - Feeder 28  -  HERBRANDSTON TO FELINDRE -  HEFE28 - OLI/4 Inspection 1 - FY29" u="1"/>
        <s v="P - Feeder 28  -  HERBRANDSTON TO FELINDRE -  HEFE28 -  OLI/4 Pipeline Defect Remediation 1 - FY31" u="1"/>
        <s v="P - Feeder 14  -  WORMINGTON TO PUCKLECHURCH -  WOPU14 - OLI/4 Inspection 1 - FY30" u="1"/>
        <s v="P - Feeder 04  -  SHOCKLACH-MAELOR -  SHMA04 - ILI Inspection 1 Placeholder Dig - FY30" u="1"/>
        <s v="P - Feeder 02 - PEPE02- PETERBORO TEE TO PETERBORO PS - N/A - CIPS for Capital Refurbishment - Survey -1 - FY27" u="1"/>
        <s v="P - Feeder 04 - HESH04- HELSBY TO SHELLSTAR - N/A - CIPS for Capital Refurbishment - Survey -1 - FY27" u="1"/>
        <s v="P - Feeder 04 - SHMA04- SHOCKLACH TO MAELOR - N/A - CIPS for Capital Refurbishment - Survey -1 - FY27" u="1"/>
        <s v="P - Feeder 06 - BUPA06- BURTON AGNES TO PAULL - N/A - CIPS for Capital Refurbishment - Survey -1 - FY27" u="1"/>
        <s v="P - Feeder 20 - WOSA20- WORMINGTON TO SAPPERTON - N/A - CIPS for Capital Refurbishment - Survey -1 - FY27" u="1"/>
        <s v="P - Feeder 21 - MAWA21- MAWDESLEY TO WARRINGTON - N/A - CIPS for Capital Refurbishment - Survey -1 - FY27" u="1"/>
        <s v="P - Feeder 21 - MAWA21- Warrington to Warburton - N/A - CIPS for Capital Refurbishment - Survey -1 - FY27" u="1"/>
        <s v="P - Feeder 05 - ISME05- IoG to Medway PS - N/A - CIPS for Capital Refurbishment - Survey -1 - FY28" u="1"/>
        <s v="P - Feeder 06 - LIBI06- Little Burdon to Billingham ICI - N/A - CIPS for Capital Refurbishment - Survey -1 - FY27" u="1"/>
        <s v="P - Feeder 07 - CHBA07- Charlgrove to Barton Stacey - N/A - CIPS for Capital Refurbishment - Survey -1 - FY27" u="1"/>
        <s v="P - Feeder 07 - CHDI07- Charlgrove to Didcot - N/A - CIPS for Capital Refurbishment - Survey -1 - FY27" u="1"/>
        <s v="P - Feeder 09 - SIST09- Silk Willoughby to Staythorpe - N/A - CIPS for Capital Refurbishment - Survey -1 - FY28" u="1"/>
        <s v="P - Feeder 13 - COBI13- Corbridge to Bishop Auckland - N/A - CIPS for Capital Refurbishment - Survey -1 - FY27" u="1"/>
        <s v="P - Feeder 13 - HASI13- Haddington to Simprim - N/A - CIPS for Capital Refurbishment - Survey -1 - FY27" u="1"/>
        <s v="P - Feeder 14 - BAKE14- Barrington to Aylesbeare - N/A - CIPS for Capital Refurbishment - Survey -1 - FY27" u="1"/>
        <s v="P - Feeder 03 - BARO03- LOCATION 09999 to Roudham Heath - N/A - CIPS for Capital Refurbishment - Survey -1 - FY29" u="1"/>
        <s v="P - Feeder 07 - BIPA07- Bishop Auckland to Sutton Howgrave - N/A - CIPS for Capital Refurbishment - Survey -1 - FY28" u="1"/>
        <s v="P - Feeder 10 - STAB10- LOCATION 9001 to Aberdeen - N/A - CIPS for Capital Refurbishment - Survey -1 - FY28" u="1"/>
        <s v="P - Feeder 11 - BALO11- Elvanfoot to Moffat - N/A - CIPS for Capital Refurbishment - Survey -1 - FY28" u="1"/>
        <s v="P - Feeder 11 - BALO11- Moffat to Longtown - N/A - CIPS for Capital Refurbishment - Survey -1 - FY28" u="1"/>
        <s v="P - Feeder 13 - COYA13- Bishop Auckland to Yafforth - N/A - CIPS for Capital Refurbishment - Survey -1 - FY28" u="1"/>
        <s v="P - Feeder 02 - TRDO02- TREADDOW TO R MONNOW - N/A - CIPS for Capital Refurbishment - Survey -1 - FY28" u="1"/>
        <s v="P - Feeder 05 - SHIS05- Shorne to Malmaynes IJ - N/A - CIPS for Capital Refurbishment - Survey -1 - FY27" u="1"/>
        <s v="P - Feeder 10 - ABKI10- Aberdeen to Kirriemuir - N/A - CIPS for Capital Refurbishment - Survey -1 - FY28" u="1"/>
        <s v="P - Feeder 11 - BALO11- Bathgate to Elvanfoot - N/A - CIPS for Capital Refurbishment - Survey -1 - FY28" u="1"/>
        <s v="P - Feeder 11 - LOGR11- Longtown to Carlisle - N/A - CIPS for Capital Refurbishment - Survey -1 - FY28" u="1"/>
        <s v="P - Feeder 12 - 0- Tee to Gowkhall - N/A - CIPS for Capital Refurbishment - Survey -1 - FY28" u="1"/>
        <s v="P - Feeder 28 - HEFE28- HERBRANSTON TO FELINDRE - N/A - CIPS for Capital Refurbishment - Survey -1 - FY28" u="1"/>
        <s v="P - Feeder 28 - FETH28- Llanwrda to Three Cocks - N/A - CIPS for Capital Refurbishment - Survey -1 - FY28" u="1"/>
        <s v="P - Feeder 05 - BAYE05- LOCATION 09999 TO YELVERTON - N/A - CIPS for Capital Refurbishment - Survey -1 - FY28" u="1"/>
        <s v="P - Feeder 05 - STBR05- Stowmarket to Braintree - N/A - CIPS for Capital Refurbishment - Survey -1 - FY31" u="1"/>
        <s v="P - Feeder 12 - LOBI12- Longtown to Allendale - N/A - CIPS for Capital Refurbishment - Survey -1 - FY29" u="1"/>
        <s v="P - Feeder 06 - PIBU06- Pickering to Burton Agnes - N/A - CIPS for Capital Refurbishment - Survey -1 - FY30" u="1"/>
        <s v="P - Feeder 11 - STAB11- LOCATION 9001 to Aberdeen - N/A - CIPS for Capital Refurbishment - Survey -1 - FY30" u="1"/>
        <s v="P - Feeder 13 - ARHA13- Monifieth to Tayport - N/A - CIPS for Capital Refurbishment - Survey -1 - FY30" u="1"/>
        <s v="P - Feeder 18 - MARY18- MATCHING GREEN TO RYE HOUSE PS - N/A - CIPS for Capital Refurbishment - Survey -1 - FY29" u="1"/>
        <s v="P - Feeder 23 - WOTI23- Wormington to Tirley - N/A - CIPS for Capital Refurbishment - Survey -1 - FY30" u="1"/>
        <s v="P - Feeder 14 - CHWO14- A425 TO WORMINGTON - N/A - CIPS for Capital Refurbishment - Survey -1 - FY30" u="1"/>
        <s v="P - Feeder 14 - WOPU14- WORMINGTON TO EASTON GREY - N/A - CIPS for Capital Refurbishment - Survey -1 - FY30" u="1"/>
        <s v="P - Feeder 09 - EAPA09- Easington to Paull - N/A - CIPS for Capital Refurbishment - Survey -1 - FY30" u="1"/>
        <s v="P - Feeder 11 - KIBA11- Crieff to Bathgate - N/A - CIPS for Capital Refurbishment - Survey -1 - FY31" u="1"/>
        <s v="P - Feeder 11 - KIBA11- Kirriemuir to Crieff - N/A - CIPS for Capital Refurbishment - Survey -1 - FY31" u="1"/>
        <s v="P - Feeder 02 - BAWI02- LOCATION 09999 to Brisley - N/A - CIPS for Capital Refurbishment - Survey -1 - FY28" u="1"/>
        <s v="P - Feeder 02 - BAWI02- Brisley to Wisbech NW East Section - N/A - CIPS for Capital Refurbishment - Survey -1 - FY29" u="1"/>
        <s v="P - Feeder 04 - WAPA04- Warburton to Partington - N/A - CIPS for Capital Refurbishment - Survey -1 - FY31" u="1"/>
        <s v="P - Feeder 29 - ASPA29- ASSELBY TO PANNAL - N/A - CIPS for Capital Refurbishment - Survey -1 - FY27" u="1"/>
        <s v="P - Feeder 29 - EAAS29- GANSTEAD TO ASSELBY - N/A - CIPS for Capital Refurbishment - Survey -1 - FY27" u="1"/>
        <s v="P - Feeder 09 - PEWH09- HUNTINGDON TO STEPPINGLEY - N/A - CIPS for Capital Refurbishment - Survey -1 - FY27" u="1"/>
        <s v="P - Feeder 19 - EAPA19- EASINGTON TO PAULL - N/A - CIPS for Capital Refurbishment - Survey -1 - FY27" u="1"/>
        <s v="P - Feeder 09 - PEWH09- Peterboro` to Huntingdon - N/A - CIPS for Capital Refurbishment - Survey -1 - FY27" u="1"/>
        <s v="P - Feeder 15  -  BRETHERTON-WARBURTON -  BRWA15 - ILI Inspection 1 - FY28" u="1"/>
        <s v="P - Feeder 16  -  BARROW-LUPTON -  BALU16 - ILI  Inspection 1 - FY27" u="1"/>
        <s v="P - Feeder 04 - SHOCKLACH TO WESTON POINT  - SHWE04 - FY25 ILI Inspection Dig 2 - FY27" u="1"/>
        <s v="P - Feeder 12  -  KIRRIEMUIR-BATHGATE -  KIBA12 - ILI FY25 inspection Dig 6 - FY27" u="1"/>
        <s v="P - Feeder 20  -  ILCHESTER TO KENN SOUTH -  ILKE20 - OLI/4 Inspection 1 - FY28" u="1"/>
        <s v="P - Feeder 10 - COTH10 - Legacy Defect - Depth of cover (Mitigations of defects)- 223344" u="1"/>
        <s v="Si - CAMBRIDGE COMP TEE - NT1328-SS-ME-PRESSURE VESSELS-PIG TRAP-System-C - N/A - PIG Trap (PSSR Inspection - Major)" u="1"/>
        <s v="Si - AUDLEY - NT3621-SS-ME-PRESSURE VESSELS-PIG TRAP-System-F - N/A - PIG Trap (PSSR Inspection - Major)" u="1"/>
        <s v="Si - PENICUIK - NT4943PGSA-PTA - N/A - PIG Trap (PSSR Inspection - Major)" u="1"/>
        <s v="Si - PENICUIK - NT4943PGSB-PTB - N/A - PIG Trap (PSSR Inspection - Major)" u="1"/>
        <s v="Si - GLENMAVIS - NT4955-SS-ME-PRESSURE VESSELS-PIG TRAP-System-A - N/A - PIG Trap (PSSR Inspection - Major)" u="1"/>
        <s v="Si - YAFFORTH - NT5015PGSA-PTA - N/A - PIG Trap (PSSR Inspection - Major)" u="1"/>
        <s v="Si - YAFFORTH - NT5015PGSB-PTB - N/A - PIG Trap (PSSR Inspection - Major)" u="1"/>
        <s v="Si - ARBROATH - NT6331PGSB-6331B - N/A - PIG Trap (PSSR Inspection - Major)" u="1"/>
        <s v="Si - PAULL MULTIJUNCTION - NT1113-SS-ME-PRESSURE VESSELS-PIG TRAP-System-G - N/A - PIG Trap (PSSR Inspection - Major)" u="1"/>
        <s v="Si - LOCATION 09999 OFFTAKE - NT1213PGSB-1211B - N/A - PIG Trap (PSSR Inspection - Major)" u="1"/>
        <s v="Si - LOCATION 09999 OFFTAKE - NT1213PGSD-1213D - N/A - PIG Trap (PSSR Inspection - Major)" u="1"/>
        <s v="Si - HATTON - NT1739-SS-ME-PRESSURE VESSELS-PIG TRAP-System-G - N/A - PIG Trap (PSSR Inspection - Major)" u="1"/>
        <s v="Si - OLD WARDEN - NT2021PGSA-2021A - N/A - PIG Trap (PSSR Inspection - Major)" u="1"/>
        <s v="Si - TILBURY THAMES NORTH - NT2731-SS-ME-PRESSURE VESSELS-PIG TRAP-System-B - N/A - PIG Trap (PSSR Inspection - Major)" u="1"/>
        <s v="Si - TILBURY THAMES NORTH - NT2731-SS-ME-PRESSURE VESSELS-PIG TRAP-System-C - N/A - PIG Trap (PSSR Inspection - Major)" u="1"/>
        <s v="Si - WARBURTON - NT3625-SS-ME-PRESSURE VESSELS-PIG TRAP-System-E - N/A - PIG Trap (PSSR Inspection - Major)" u="1"/>
        <s v="Si - GOSBERTON - NT1733-SS-ME-PRESSURE VESSELS-PIG TRAP-System-B - N/A - PIG Trap (PSSR Inspection - Major)" u="1"/>
        <s v="Si - HATTON - NT1739-SS-ME-PRESSURE VESSELS-PIG TRAP-System-B - N/A - PIG Trap (PSSR Inspection - Major)" u="1"/>
        <s v="Si - THEDDLETHORPE - NT1811-SS-ME-PRESSURE VESSELS-PIG TRAP-System-C - N/A - PIG Trap (PSSR Inspection - Major)" u="1"/>
        <s v="Si - PETERS GREEN - NT2510-SS-ME-PRESSURE VESSELS-PIG TRAP-System-A - N/A - PIG Trap (PSSR Inspection - Major)" u="1"/>
        <s v="Si - RYE HOUSE POWER STATION - NT2816-SS-ME-PRESSURE VESSELS-PIG TRAP-System-A - N/A - PIG Trap (PSSR Inspection - Major)" u="1"/>
        <s v="Si - PETERBOROUGH COMP. TEE - NT1234-SS-ME-PRESSURE VESSELS-PIG TRAP-System-C - N/A - PIG Trap (PSSR Inspection - Major)" u="1"/>
        <s v="Si - BRAINTREE - NT1527PGSA-1527A - N/A - PIG Trap (PSSR Inspection - Major)" u="1"/>
        <s v="Si - BRAINTREE - NT1527PGSB-1527B - N/A - PIG Trap (PSSR Inspection - Major)" u="1"/>
        <s v="Si - SUSWORTH TRENT EAST - NT1749-SS-ME-PRESSURE VESSELS-PIG TRAP-System-B - N/A - PIG Trap (PSSR Inspection - Major)" u="1"/>
        <s v="Si - SUSWORTH TRENT WEST - NT1751-SS-ME-PRESSURE VESSELS-PIG TRAP-System-C - N/A - PIG Trap (PSSR Inspection - Major)" u="1"/>
        <s v="Si - GRAVESEND THAMES SOUTH - NT2729-SS-ME-PRESSURE VESSELS-PIG TRAP-System-A - N/A - PIG Trap (PSSR Inspection - Major)" u="1"/>
        <s v="P -Â Feeder 15 - NW15BRWA - Bretherton to Warburton (Taylors Farm Shop) - TD1/Slabbing" u="1"/>
        <s v="P -Â Feeder 15 - NW15BRWA - Bretherton to Warburton (Culcheth High School) - TD1/Slabbing" u="1"/>
        <s v="P - FEEDER 07 - SO07CHDI - CHALGROVE TO DIDCOT - CIPS Remediation - CIPS Dig - FY29" u="1"/>
        <s v="P - FEEDER 20 - SW20WOSA - WORMINGTON TO SAPPERTON - CIPS Remediation - CIPS Dig - FY29" u="1"/>
        <s v="P - FEEDER 22 - EM22HAPE - HATTON TO PETERBOROUGH - CIPS Remediation - CIPS Dig - FY31" u="1"/>
        <s v="P - FEEDER 07 - EM07HAGO - HATTON TO GOSBERTON - CIPS Remediation - CIPS Dig - FY29" u="1"/>
        <s v="P - FEEDER 03 - EA03ROGR - ROUDHAM HEATH TO GREAT WILBRAHAM - CIPS Remediation - CIPS Dig - FY29" u="1"/>
        <s v="P - FEEDER 13 - SC13HASI - HADDINGTON TO SIMPRIM - CIPS Remediation - CIPS Dig - FY29" u="1"/>
        <s v="P - FEEDER 05 - SE05SHIS - SHORNE TO ISLE OF GRAIN - CIPS Remediation - CIPS Dig - FY30" u="1"/>
        <s v="P - FEEDER 02 - SW02TRDO - TREADDOW TO DOWLAIS - CIPS Remediation - CIPS Dig - FY30" u="1"/>
        <s v="P - FEEDER 11 - NO11LOGR - LONGTOWN TO GRAYRIGG - CIPS Remediation - CIPS Dig - FY30" u="1"/>
        <s v="P - FEEDER 11 - SC11BALO - BATHGATE TO LONGTOWN 11 - CIPS Remediation - CIPS Dig - FY30" u="1"/>
        <s v="P - FEEDER 10 - SC10ABKI - ABERDEEN TO KIRRIEMUIR 10 - CIPS Remediation - CIPS Dig - FY30" u="1"/>
        <s v="P - FEEDER 28 - SW28THTI - THREE COCKS TO TIRLEY PRI - CIPS Remediation - CIPS Dig - FY30" u="1"/>
        <s v="P - FEEDER 28 - WA28HEFE - HERBRANDSTON TO FELINDRE - CIPS Remediation - CIPS Dig - FY30" u="1"/>
        <s v="P - FEEDER 20 - SW20ILKE - ILCHESTER TO KENN SOUTH - CIPS Remediation - CIPS Dig - FY31" u="1"/>
        <s v="P - FEEDER 11 - SC11ABKI - ABERDEEN TO KIRRIEMUIR 11 - CIPS Remediation - CIPS Dig - FY31" u="1"/>
        <s v="P - FEEDER 12 - SC12ABKI - ABERDEEN TO KIRRIEMUIR 12 - CIPS Remediation - CIPS Dig - FY31" u="1"/>
        <s v="P - FEEDER 07 - SO07BAMA - BARTON STACEY TO MAPPOWDER - CIPS Remediation - CIPS Dig - FY31" u="1"/>
        <s v="P - FEEDER 18 - EA18MARY - MATCHING GREEN TO RYE HOUSE - CIPS Remediation - CIPS Dig - FY31" u="1"/>
        <s v="P - FEEDER 02 - EM02DUCH - DUDDINGTON TO CHURCHOVER - CIPS Remediation - CIPS Dig - FY31" u="1"/>
        <s v="P - FEEDER 02 - EA02BAWI - LOCATION 09999 TO WISBECH NENE WEST 02 - CIPS Remediation - CIPS Dig - FY31" u="1"/>
        <s v="P - FEEDER 04 - EM04BLAL - BLABY TO ALREWAS - CIPS Remediation - Install new CP System - FY29" u="1"/>
        <s v="P - FEEDER 07 - SO07CHBA - CHALGROVE TO BARTON STACEY - CIPS Remediation - Install new CP System - FY29" u="1"/>
        <s v="P - FEEDER 02 - SW02WOTR - WORMINGTON TO TREADDOW - CIPS Remediation - Install new CP System - FY30" u="1"/>
        <s v="P - FEEDER 10 - SC10KIBA - KIRRIEMUIR TO BATHGATE 10 - CIPS Remediation - Install new CP System - FY30" u="1"/>
        <s v="P - FEEDER 11 - SC11BALO - BATHGATE TO LONGTOWN 11 - CIPS Remediation - Install new CP System - FY30" u="1"/>
        <s v="P - FEEDER 28 - WA28HEFE - HERBRANDSTON TO FELINDRE - CIPS Remediation - Install new CP System - FY30" u="1"/>
        <s v="P - FEEDER 07 - SO07BAMA - BARTON STACEY TO MAPPOWDER - CIPS Remediation - Install new CP System - FY31" u="1"/>
        <s v="P - FEEDER 12 - SC12STAB - ST. FERGUS TO ABERDEEN 12 - CIPS Remediation - Install new CP System - FY31" u="1"/>
        <s v="P - FEEDER 27 - EA27BAKI - LOCATION 09999 TO KINGS LYNN - CIPS Remediation - Install new CP System - FY31" u="1"/>
        <s v="P - FEEDER 20 - SW20KECH - KENN SOUTH TO CHOAKFORD - CIPS Remediation - Install new CP System - FY31" u="1"/>
        <s v="P - CHURCHOVER TO WORMINGTON - Watercourse crossings defect resolution" u="1"/>
        <s v="P - BISHOP AUCKLAND TO PANNAL - Nitrogen sleeve remediation - Minor" u="1"/>
        <s v="P - TYDD ST. GILES TO OLD WARDEN - Nitrogen sleeve remediation - Minor" u="1"/>
        <s v="P - YAFFORTH TO TOWTON - Nitrogen sleeve remediation - Minor" u="1"/>
        <s v="P - LOCATION 09999 TO ROUDHAM HEATH - RDOC Defect Mitigation- Fencing and Ditch Board Installation" u="1"/>
        <s v="P - BARROW TO LUPTON - Nitrogen sleeve remediation - Minor" u="1"/>
        <s v="P - ABERDEEN TO KIRRIEMUIR 12 - Watercourse crossings defect resolution" u="1"/>
        <s v="P - AUSTREY TO SHUSTOKE - Watercourse crossings defect resolution" u="1"/>
        <s v="P - AUDLEY TO SHOCKLACH - Nitrogen Sleeve- Grouting" u="1"/>
        <s v="P - WISBECH NENE WEST TO DUDDINGTON - RDOC Defect Mitigation- Fencing and Ditch Board Installation" u="1"/>
        <s v="P - ABERDEEN TO KIRRIEMUIR 10 - Watercourse crossings defect resolution" u="1"/>
        <s v="P - CAWOOD TO SUSWORTH TRENT WEST - Watercourse crossings defect resolution" u="1"/>
        <s v="P - WORMINGTON TO TREADDOW - Watercourse crossings defect resolution" u="1"/>
        <s v="P - Feeder 20 - ILCHESTER TO KENN SOUTH 20 - CIPS Dig T2 Rollover" u="1"/>
        <s v="P - Feeder 21 - MICKLE TRAFFORD TO DEESIDE 21 - CIPS Dig T2 Rollover" u="1"/>
        <s v="P - Feeder 7 - NUFFIELD TO WINKFIELD 7 - CIPS Dig T2 Rollover" u="1"/>
        <s v="P - Feeder 6 - SPROATLEY TO ALDBROUGH 6 - CIPS Dig T2 Rollover" u="1"/>
        <s v="P - Feeder 1 - SKITTER TO THORNTON CURTIS DECOMM'D 1 - CIPS Dig T2 Rollover" u="1"/>
        <s v="P - Feeder 20 - ILCHESTER TO KENN SOUTH 20 - CIPS - New CP System T2 Rollover" u="1"/>
        <s v="P - Feeder 04  -  TIXOVER TO BLABY -  TIBL04 - ILI Inspection 1 - FY27" u="1"/>
        <s v="P - Feeder 15  -  LUPTON TO BRETHERTON -  LUBR15 - ILI Inspection 1 Dig 2 - FY29" u="1"/>
        <s v="P - Feeder 12  -  ST. FERGUS TO ABERDEEN 12 -  STAB12 - ILI Inspection 1 Dig 3 - FY29" u="1"/>
        <s v="P - Feeder 04  -  TIXOVER TO BLABY -  TIBL04 - ILI Inspection 1 Dig 2 - FY29" u="1"/>
        <s v="P - NORTH - ILI Defect Digs - P-002 - Draw Down" u="1"/>
        <s v="P-PAULL TO SKITTER (DUPLICATE)-Pipeline-Decommissioning-P-116" u="1"/>
        <s v="P-PAULL TO HATTON-Pipeline-Decommissioning-P-115" u="1"/>
        <s v="P - Churchover - Pipelines - WIRP Churchover to Churchover Section - P118" u="1"/>
        <s v="P - LOCATION 09999 - Pipelines - WIRP Pipeline Uprating - P119" u="1"/>
        <s v="P - WEST - Nitrogen Sleeve - Nitrogen Sleeve Grouting - P-045 - Draw Down" u="1"/>
        <s v="P - WEST - Pipeline - Easement Reinstatement (Tree) - P-112 - Draw Down" u="1"/>
        <s v="P - WEST - Pig Trap - PIG Trap PSSR Minor Defect Resolution - P-018 - Draw Down" u="1"/>
        <s v="P - WEST - Pig Trap - PIG Trap PSSR Major Defect Resolution - P-019 - Draw Down" u="1"/>
        <s v="P - EAST - Marker Posts - Aerial Marker Post Replacement - P-008 - Draw Down" u="1"/>
        <s v="P - EAST - Nitrogen Sleeve - Nitrogen Sleeve Grouting - P-045 - Draw Down" u="1"/>
        <s v="P - EAST - Pipeline - Easement Reinstatement (Tree) - P-112 - Draw Down" u="1"/>
        <s v="P - EAST - Pig Trap - PIG Trap PSSR Minor Defect Resolution - P-018 - Draw Down" u="1"/>
        <s v="P - EAST - Pig Trap - PIG Trap PSSR Major Defect Resolution - P-019 - Draw Down" u="1"/>
        <s v="P - NORTH - Transformer - Transformer Rectifier Replacement - P-033 - Draw Down" u="1"/>
        <s v="P - NORTH - Pipeline - Easement Reinstatement (Tree) - P-112 - Draw Down" u="1"/>
        <s v="P - NORTH - Pig Trap - PIG Trap PSSR Major Defect Resolution - P-019 - Draw Down" u="1"/>
        <s v="P - REGION 004 and North - Transformer - Transformer Rectifier Replacement - P-033 - Draw Down" u="1"/>
        <s v="P - Feeder 21  -  MICKLE TRAFFORD TO DEESIDE -  MIDE21 - OLI/4 Inspection 1 - FY27" u="1"/>
        <s v="P - WEST - ILI Inspection - P-001 - Draw Down" u="1"/>
        <s v="P - DRAX - River Crossing from Asselby to Drax Decom" u="1"/>
        <s v="P - Feeder 15 - LOPL15 - LONGTOWN TO PLUMPTON HEAD - Project Union - North West FEED" u="1"/>
        <s v="P - Feeder 15 - LUBR15 - LUPTON TO BRETHERTON - Project Union - North West FEED" u="1"/>
        <s v="P - Feeder 21 - MAWA21 - MAWDESLEY TO WARBURTON - Project Union - North West FEED" u="1"/>
        <s v="P - Feeder 05 - ISLE OF GRAIN TO MEDWAY - ISME05  - FY25 ILI Inspection Placeholder Dig 5 - FY27" u="1"/>
        <s v="P - Feeder 05 - ISLE OF GRAIN TO MEDWAY - ISME05  - FY25 ILI Inspection Placeholder Dig 8 - FY27" u="1"/>
        <s v="P - Feeder 11  -  BATHGATE-LONGTOWN -  BALO11 - ILI FY25 inspection Dig 8 - FY27" u="1"/>
        <s v="P - Feeder 11  -  BATHGATE-LONGTOWN -  BALO11 - ILI FY25 inspection Dig 16 - FY27" u="1"/>
        <s v="P - Feeder 11  -  BATHGATE-LONGTOWN -  BALO11 - ILI FY25 inspection Dig 18 - FY27" u="1"/>
        <s v="P - Feeder 11  -  BATHGATE-LONGTOWN -  BALO11 - ILI FY25 inspection Dig 19 - FY27" u="1"/>
        <s v="P - Feeder 12  -  BATHGATE-LONGTOWN -  BALO12 - ILI FY25 inspection Dig 7 - FY27" u="1"/>
        <s v="P - Feeder 12  -  BATHGATE-LONGTOWN -  BALO12 - ILI FY25 inspection Dig 9 - FY27" u="1"/>
        <s v="P - Feeder 12  -  KIRRIEMUIR-BATHGATE -  KIBA12 - ILI FY25 inspection Dig 7 - FY27" u="1"/>
        <s v="P - FEEDER 04 - WARBURTON TO PARTINGTON - WAPA04 - CIPS Remediation - CIPS Dig - FY27" u="1"/>
        <s v="P - FEEDER 11 - ABERDEEN TO KIRRIEMUIR 11 - ABKI11 - CIPS Remediation - Install new CP System - FY30" u="1"/>
        <s v="P - FEEDER 11 - LONGTOWN TO GRAYRIGG - LOGR11 - CIPS Remediation - Install new CP System - FY27" u="1"/>
        <s v="P - EAST - ILI Defect Digs - P-002 - Baseline - Draw Down" u="1"/>
        <s v="P - ASSELBY - Feeder 7 Towton to Asselby Decom" u="1"/>
        <s v="P - Feeder 13 - ABERDEEN-ARBROATH - ABAR13 - ILI Inspection 1 Dig 1 - FY29" u="1"/>
        <s v="P - Feeder 12 - LONGTOWN-BISHOP AUCKLAND - LOBI12 - ILI Inspection 1 Dig 1 - FY29" u="1"/>
        <s v="P - Feeder 11 - LONGTOWN-GRAYRIGG - LOGR11 - ILI Inspection 1 Dig 1 - FY29" u="1"/>
        <s v="P - EAST - CIPS Remediation - CIPS Dig - P-027 - Baseline - Draw Down" u="1"/>
        <s v="P - EAST - CIPS for Capital Refurbishment - Survey - Draw Down" u="1"/>
        <s v="P - Feeder 13 - YAFFORTH TO TOWTON 13 - Transformer - Transformer Rectifier Replacement" u="1"/>
        <s v="P - Feeder 13 - YAFFORTH TO TOWTON 13 - Transformer - Transformer Rectifier Replacement 3" u="1"/>
        <s v="P - Feeder 06- ELTON TO PICKERING 06 - Transformer - Transformer Rectifier Replacement 4" u="1"/>
        <s v="P - EAST - OLI/4 (Pipeline PSSR Inspection) - Draw Down" u="1"/>
        <s v="P - EAST - Defect Dig - Draw Down" u="1"/>
        <s v="P - NORTH - Defect Dig - Draw Down" u="1"/>
        <s v="P - WEST - Defect Dig - Draw Down" u="1"/>
        <s v="P - EAST - PIG Trap PSSR Major Inspection - Draw Down" u="1"/>
        <s v="P - NORTH - PIG Trap PSSR Major Inspection - Draw Down" u="1"/>
        <s v="P - WEST - AC Protection - Draw Down" u="1"/>
        <s v="P - EAST - Cathodic Protection - AC Mitigation Survey - Draw Down" u="1"/>
        <s v="P - NORTH - CIPS Remediation - Install new CP system/system Item - Draw Down" u="1"/>
        <s v="Si - SIMPRIM - NT6353PGSA-6353A - PIG Trap (PSSR Inspection - Major)" u="1"/>
        <s v="P - Feeder 22 - GOXHILL TO HATTON - GOHA22 - ILI Inspection 1 Dig 1 - FY28" u="1"/>
        <s v="P - Feeder 04 - WISBECH NENE WEST TO TIXOVER - WITI04 - ILI Inspection 1 Dig 1 - FY28" u="1"/>
        <s v="P - Feeder 05 - ISLE OF GRAIN TO MEDWAY - ISME05 - ILI Inspection 1 Dig 1 - FY28" u="1"/>
        <s v="P - Feeder 01 - SKITTER TO THORNTON CURTIS DECOMM'D - SKTH01 - Aerial Marker Post Replacement - FY28" u="1"/>
        <s v="P - Feeder 05 - ISLE OF GRAIN TO MEDWAY - ISME05 - Aerial Marker Post Replacement - FY31" u="1"/>
        <s v="P - Feeder 02 - PETERBOROUGH TEE TO EYE - PEEY02 - Aerial Marker Post Replacement - FY30" u="1"/>
        <s v="P - Feeder 04 - SADDLEBOW TO KINGS LYNN PS - SAKI04 - Aerial Marker Post Replacement - FY27" u="1"/>
        <s v="P - Feeder 02 - DOWLAIS TO DYFFRYN CLYDACH - DODY02 - Aerial Marker Post Replacement - FY27" u="1"/>
        <s v="P - Feeder 04 - WARBURTON TO PARTINGTON - WAPA04 - Aerial Marker Post Replacement - FY28" u="1"/>
        <s v="P - Feeder 05 - ISLE OF GRAIN TO MEDWAY - Transformer Rectifier Replacement FY27" u="1"/>
        <s v="P - Feeder 05 - ISLE OF GRAIN TO MEDWAY - Transformer Rectifier Replacement FY28" u="1"/>
        <s v="P - Feeder 05 - ISLE OF GRAIN TO MEDWAY - Transformer Rectifier Replacement FY30" u="1"/>
        <s v="P - Feeder 05 - ISLE OF GRAIN TO MEDWAY - Transformer Rectifier Replacement FY31" u="1"/>
        <s v="P - Feeder 02 - PETERBOROUGH TEE TO EYE -  Transformer Rectifier Replacement FY27" u="1"/>
        <s v="P - Feeder 02 - PETERBOROUGH TEE TO EYE - Transformer Rectifier Replacement 1 FY30" u="1"/>
        <s v="P - Feeder 04 - SADDLEBOW TO KINGS LYNN PS - Transformer Rectifier Replacement FY27" u="1"/>
        <s v="P - Feeder 04 - SADDLEBOW TO KINGS LYNN PS - Transformer Rectifier Replacement FY28" u="1"/>
        <s v="P - Feeder 04 - SADDLEBOW TO KINGS LYNN PS - Transformer Rectifier Replacement FY31" u="1"/>
        <s v="P - Feeder 01 - SKITTER TO THORNTON CURTIS DECOMM'D - Transformer Rectifier Replacement FY28" u="1"/>
        <s v="P - Feeder 03 - WHITWELL TO PETERS GREEN - Transformer Rectifier Replacement 1 FY30" u="1"/>
        <s v="P - Feeder 03 - WHITWELL TO PETERS GREEN - Transformer Rectifier Replacement FY31" u="1"/>
        <s v="Si- Feeder 05 - ISLE OF GRAIN TO MEDWAY - Repair CP Test Posts - FY27" u="1"/>
        <s v="Si- Feeder 05 - ISLE OF GRAIN TO MEDWAY - Repair CP Test Posts - FY28" u="1"/>
        <s v="Si- Feeder 03 - WHITWELL TO PETERS GREEN - Repair CP Test Posts - FY28" u="1"/>
        <s v="P - Feeder 12 - ABERDEEN TO KIRRIEMUIR 12 - ABKI12 - Nitrogen Sleeve Minor Remediation 4" u="1"/>
        <s v="P - Feeder 12 - ABERDEEN TO KIRRIEMUIR 12 - ABKI12 - Nitrogen Sleeve Minor Remediation 10" u="1"/>
        <s v="P - Feeder 03 - WHITWELL TO PETERS GREEN - WHPE03 - Nitrogen Sleeve Minor Remediation" u="1"/>
        <s v="P - Feeder 05 - ISLE OF GRAIN TO MEDWAY - Transformer Rectifier Replacement 2 FY29" u="1"/>
        <s v="P - Feeder 03 - WHITWELL TO PETERS GREEN - Transformer Rectifier Replacement 2 FY29" u="1"/>
        <s v="P - Feeder 03 - WHITWELL TO PETERS GREEN - Transformer Rectifier Replacement 2 FY30" u="1"/>
        <s v="P - Feeder 12 - ABERDEEN TO KIRRIEMUIR 12 - ABKI12 - Nitrogen Sleeve Minor Remediation 4 - FY27" u="1"/>
        <s v="P - Feeder 12 - ABERDEEN TO KIRRIEMUIR 12 - ABKI12 - Nitrogen Sleeve Minor Remediation 6 - FY27" u="1"/>
        <s v="P - Feeder 12 - ABERDEEN TO KIRRIEMUIR 12 - ABKI12 - Nitrogen Sleeve Minor Remediation 8 - FY27" u="1"/>
        <s v="P - Feeder 05 - ISLE OF GRAIN TO MEDWAY - ISME05 - Easement Reinstatement (Scrub) - FY29" u="1"/>
        <s v="P - Feeder 02 - PETERBOROUGH TEE TO EYE - PEEY02 - Easement Reinstatement (Scrub) - FY29" u="1"/>
        <s v="P - Feeder 04 - SADDLEBOW TO KINGS LYNN PS - SAKI04 - Easement Reinstatement (Scrub) - FY29" u="1"/>
        <s v="P - Feeder 04 - SADDLEBOW TO KINGS LYNN PS - SAKI04 - Easement Reinstatement (Scrub) - FY30" u="1"/>
        <s v="P - Feeder 04 - SADDLEBOW TO KINGS LYNN PS - SAKI04 - Easement Reinstatement (Scrub) - FY31" u="1"/>
        <s v="P - Feeder 01 - SKITTER TO THORNTON CURTIS DECOMM'D - SKTH01 - Easement Reinstatement (Scrub) - FY29" u="1"/>
        <s v="P - Feeder 03 - WHITWELL TO PETERS GREEN - WHPE03 - Easement Reinstatement (Scrub) - FY29" u="1"/>
        <s v="P - Feeder 03 - WHITWELL TO PETERS GREEN - WHPE03 - Easement Reinstatement (Scrub) - FY31" u="1"/>
        <s v="P - Feeder 04 - BLABY TO ALREWAS - BLAL04 - Easement Reinstatement (Scrub) - FY30" u="1"/>
        <s v="P - Feeder 05 - ISLE OF GRAIN TO MEDWAY - ISME05 - Easement Reinstatement (Tree) - FY27" u="1"/>
        <s v="P - Feeder 04 - SADDLEBOW TO KINGS LYNN PS - SAKI04 - Easement Reinstatement (Tree) - FY29" u="1"/>
        <s v="P - Feeder 04 - SADDLEBOW TO KINGS LYNN PS - SAKI04 - Easement Reinstatement (Tree) - FY30" u="1"/>
        <s v="P - Feeder 01 - SKITTER TO THORNTON CURTIS DECOMM'D - SKTH01 - Easement Reinstatement (Tree) - FY27" u="1"/>
        <s v="P - Feeder 01 - SKITTER TO THORNTON CURTIS DECOMM'D - SKTH01 - Easement Reinstatement (Tree) - FY28" u="1"/>
        <s v="P - Feeder 03 - WHITWELL TO PETERS GREEN - WHPE03 - Easement Reinstatement (Tree) - FY27" u="1"/>
        <s v="P - Feeder 21 - MICKLE TRAFFORD TO DEESIDE - MIDE21 - Easement Reinstatement (Tree) - FY27" u="1"/>
        <s v="P - Feeder 02 - DOWLAIS TO DYFFRYN CLYDACH - DODY02 - Easement Reinstatement (Tree) - FY27" u="1"/>
        <s v="P- LOCATION 09999 - New Large Recompression Rigs - P-126" u="1"/>
        <s v="P-GRAYRIGG TO SAMLESBURY-Nitrogen Sleeve - Grouting-P-045" u="1"/>
        <s v="PA - Cyber-Meter/Analysers/Telemetry - Se-4 - 7200-ST-24-25" u="1"/>
        <s v="PA - Cyber-Meter/Analysers/Telemetry - Se-4 - 1211-S4-24-9" u="1"/>
        <s v="PA - Cyber-Meter/Analysers/Telemetry - Se-4 - 2816-SS-24-6" u="1"/>
        <s v="PA - Valves - Si-144 - 7040-SS-53-23" u="1"/>
        <s v="PA - Valves - Si-144 - 1234-SS-53-51" u="1"/>
        <s v="PA - Valves - Si-144 - 1234-SS-53-49" u="1"/>
        <s v="PA - Valves - Si-144 - 6021-SS-53-66" u="1"/>
        <s v="PA - Valves - Si-144 - 1739-SS-53-83" u="1"/>
        <s v="PA - Valves - Si-144 - 1530-SS-53-31" u="1"/>
        <s v="Si - KIRRIEMUIR COMPRESSOR STATION - Power Transformers - Converter Transformer Coating Replacement" u="1"/>
        <s v="Si-ALREWAS COMPRESSOR STATION-Standby power system station  AC UPS-Replace AC UPS (Large) - Compressor Station" u="1"/>
        <s v="Si-AVONBRIDGE COMPRESSOR STATION-Station 1 400v AC UPS unit C-Replace AC UPS (Large) - Compressor Station" u="1"/>
        <s v="Si-AYLESBURY COMPRESSOR STATION-Standby power system  24v DC F&amp;G -Replace DC UPS (Large) - Compressor Station" u="1"/>
        <s v="Si-BISHOP AUCKLAND COMPRESSOR STATION-AC Emergency UPS battery Unit A -Replace Batteries (VRLA) (Large)" u="1"/>
        <s v="Si-BISHOP AUCKLAND COMPRESSOR STATION-Standby power system  AC UPS  station -Replace AC UPS (Large) - Compressor Station" u="1"/>
        <s v="Si-BISHOP AUCKLAND COMPRESSOR STATION-Standby power system  AC UPS B unit control -Replace AC UPS (Large) - Compressor Station" u="1"/>
        <s v="Si-FELINDRE COMPRESSOR STATION-A unit Control UPS-Replace AC UPS (Large) - Compressor Station" u="1"/>
        <s v="Si-FELINDRE COMPRESSOR STATION-A unit UPS - Lube oil system 1-Replace DC UPS (Large) - Compressor Station" u="1"/>
        <s v="Si-FELINDRE COMPRESSOR STATION-Emergency power system 110v - in HV switchroom Sys 1-Replace DC UPS (Large) - Compressor Station" u="1"/>
        <s v="Si-FELINDRE COMPRESSOR STATION-Emergency power system 110v-  in HV switchroom Sys 2-Replace DC UPS (Large) - Compressor Station" u="1"/>
        <s v="Si-PETERBOROUGH COMPRESSOR STATION-Standby power system  24v DC C&amp;I  -Replace DC UPS (Large) - Compressor Station" u="1"/>
        <s v="Si-WOOLER COMPRESSOR STATION-A unit 110v battery -Replace Batteries (VRLA) (Large)" u="1"/>
        <s v="Si-Bishop Auckland CS-Standby Generator-New load bank installation including switchgear modification" u="1"/>
        <s v="Si-Carnforth CS-Standby Generator-Integral switchgear replacement" u="1"/>
        <s v="Si-Churchover CS-Standby Generator-Control System Replacement" u="1"/>
        <s v="Si-Churchover CS-Standby Generator-Load bank replacement" u="1"/>
        <s v="Si -ABSON - Telemetry DC UPS - Replace DC UPS (Small) - AGIs" u="1"/>
        <s v="Si -AUDLEY - Telemetry DC UPS - Replace DC UPS (Small) - AGIs" u="1"/>
        <s v="Si -BARTON STACEY - Gas Qulaity - EGMP AC UPS - Replace AC UPS (Large)" u="1"/>
        <s v="Si -BELTOFT - Telemetry DC UPS - Replace DC UPS (Small) - AGIs" u="1"/>
        <s v="Si -BIRCH HEATH - Telemetry DC UPS - Replace DC UPS (Small) - AGIs" u="1"/>
        <s v="Si -CHURCHOVER COMP TEE - Telemetry DC UPS - Replace DC UPS (Small) - AGIs" u="1"/>
        <s v="Si -CILFREW - Telemetry DC UPS - Replace DC UPS (Small) - AGIs" u="1"/>
        <s v="Si -CRIEFF - Telemetry DC UPS - Replace DC UPS (Small) - AGIs" u="1"/>
        <s v="Si -EASTOFT - Telemetry DC UPS - Replace DC UPS (Small) - AGIs" u="1"/>
        <s v="Si -ELTON - Gas Quality - FWACV AC UPS - Replace AC UPS (Large)" u="1"/>
        <s v="Si -ISLE OF GRAIN - Telemetry DC UPS - Replace DC UPS (Small) - AGIs" u="1"/>
        <s v="Si -LITTLE BARFORD PS - Telemetry AC UPS - Replace AC UPS (Large)" u="1"/>
        <s v="Si -LLANGYNOG - Telmetry  DC UPS - Replace Batteries (VRLA) (Small)" u="1"/>
        <s v="Si -LOCHSIDE - Telemetry DC UPS - Replace DC UPS (Small) - AGIs" u="1"/>
        <s v="Si -LUPTON - Gas Quality - EGMP1 AC UPS - Replace Batteries (VRLA) (Small)" u="1"/>
        <s v="Si -LUPTON - Gas Quality - EGMP2 and FWACV AC UPS - Replace AC UPS (Small)" u="1"/>
        <s v="Si -LUPTON - Telemetry DC UPS - Replace DC UPS (Small) - AGIs" u="1"/>
        <s v="Si -NETHER KELLET - Gas Quality - FWACV AC UPS - Replace AC UPS (Small)" u="1"/>
        <s v="Si -NETHER KELLET - Telemetry DC UPS - Replace DC UPS (Small) - AGIs" u="1"/>
        <s v="Si -OTTERY ST. MARY - Telemetry DC UPS - Replace DC UPS (Small) - AGIs" u="1"/>
        <s v="Si -PENNINGTON - Telemetry DC UPS - Replace Batteries (VRLA) (Small)" u="1"/>
        <s v="Si -SALTHOLME MOC - Telemetry DC UPS - Replace Batteries (VRLA) (Small)" u="1"/>
        <s v="Si -SELLAFIELD PS - Metering AC UPS - Replace AC UPS (Small)" u="1"/>
        <s v="Si -SELLAFIELD PS - Telemetry DC UPS - Replace DC UPS (Small) - AGIs" u="1"/>
        <s v="Si -SUSWORTH TRENT EAST - Telemetry DC UPS - Replace DC UPS (Small) - AGIs" u="1"/>
        <s v="Si -SUTTON BRIDGE PS - Telemetry DC UPS - Replace DC UPS (Small) - AGIs" u="1"/>
        <s v="Si -THREE COCKS - Telemetry DC UPS - Replace DC UPS (Small) - AGIs" u="1"/>
        <s v="Si -WISBECH NENE WEST - Gas Quality - FWACV AC UPS - Replace AC UPS (Small)" u="1"/>
        <s v="Si -WOOLER - Telemetry DC UPS - Replace DC UPS (Small) - AGIs" u="1"/>
        <s v="Si -WORMINGTON - Telemetry / Boundary control / Flow control DC UPS - Replace DC UPS (Small) - AGIs" u="1"/>
        <s v="Si - KINGS LYNN POWER STATION - Regulators - Fuel Gas/Domestic Gas Supply Pressure Regulator Skid Replacement" u="1"/>
        <s v="Si - RYE HOUSE POWER STATION - Regulators - Replace Regulator Stream (Single) - 2" u="1"/>
        <s v="Si - RYEHOUSE POWER STATION - Regulators - Fuel Gas/Domestic Gas Supply Pressure Regulator Skid Replacement" u="1"/>
        <s v="Si - SELLAFIELD POWER STATION - Regulators - Fuel Gas/Domestic Gas Supply Pressure Regulator Skid Replacement" u="1"/>
        <s v="Si - Stallingbor2PS - Regulators - Replace Regulator Stream (Single) - 4" u="1"/>
        <s v="Si - BISHOP AUCKLAND COMPRESSOR STATION - Power Transformers - Step Down Transformer Replacement 11/33Kv" u="1"/>
        <s v="Si - LOCKERLEY COMPRESSOR STATION - Power Transformers - Incomer B - Install DG Analyser" u="1"/>
        <s v="Si - CARNFORTH COMPRESSOR STATION - UPS - Replace Batteries (VRLA) (Large) - AC UPS C unit control battery" u="1"/>
        <s v="SI - Aylesbury - Switchgear - Replacement of LV Switchgear Installation - General Services Board" u="1"/>
        <s v="SI - Aylesbury - Switchgear - Replacement of LV Switchgear Installation - DC MCC C1201B" u="1"/>
        <s v="SI - Carnforth - Switchgear - Replacement of LV Switchgear Installation - Generator ACB" u="1"/>
        <s v="SI - Diss - Switchgear - Replacement of LV Switchgear Installation - Unit A 110V Emergency MCC" u="1"/>
        <s v="SI - Diss - Switchgear - Replacement of LV Switchgear Installation - Unit C 110V Emergency MCC" u="1"/>
        <s v="Si - DIDCOT power station - Boilers - Replace Modular Boiler Package" u="1"/>
        <s v="Si - KEADBY power station - Boilers - Replace Modular Boiler Package" u="1"/>
        <s v="Si - TIRLEY PRI - Boilers - Replace Modular Boiler Package" u="1"/>
        <s v="Si - TREADDOW - Boilers - Replace Modular Boiler Package" u="1"/>
        <s v="Si - PETERBOROUGH COMP. TEE - Regulators - Replace FCV Stream (Single) FCV1" u="1"/>
        <s v="Si - BISHOP AUCKLAND - Regulators - Replace FCV Stream (Single) FCV2" u="1"/>
        <s v="Si - LITTLE BARFORD POWER STATION - Heat Exchangers - BURSTING DISCS - PSSR ES/14/02 BURSTING DISC PROT REPLACEMENT" u="1"/>
        <s v="Si - MEDWAY POWER - Heat Exchangers - BURSTING DISCS DIDCOT B - PSSR ES/14/02 BURSTING DISC PROT REPLACEMENT" u="1"/>
        <s v="Si - TIRLEY PRI - Heat Exchangers - BURSTING DISK - PSSR ES/14/02 BURSTING DISC PROT REPLACEMENT" u="1"/>
        <s v="Si - TREADDOW - Heat Exchangers - BURSTING DISCS - PSSR ES/14/02 BURSTING DISC PROT REPLACEMENT" u="1"/>
        <s v="Si - CENTRAX OT - Heat Exchangers - BURSTING DISCS - PSSR ES/14/02 BURSTING DISC PROT REPLACEMENT" u="1"/>
        <s v="Si - DUDDINGTON - Site Earthing &amp; Lightning - Refurbishment of Earthing &amp; Lightning Protection Systems (Small Site)" u="1"/>
        <s v="Si - BILLINGHAM ICI - Site Earthing &amp; Lightning - Refurbishment of Earthing &amp; Lightning Protection Systems (Small Site)" u="1"/>
        <s v="Si - TYDD ST. GILES - Site Earthing &amp; Lightning - Refurbishment of Earthing &amp; Lightning Protection Systems (Large Site)" u="1"/>
        <s v="Si - Arbroath - Site Earthing &amp; Lightning - Refurbishment of Earthing &amp; Lightning Protection Systems (Small Site)" u="1"/>
        <s v="Si - NEWBOLD PACEY - Site Earthing &amp; Lightning - Refurbishment of Earthing &amp; Lightning Protection Systems (Large Site)" u="1"/>
        <s v="Si - THEDDLETHORPE - Site Earthing &amp; Lightning - Refurbishment of Earthing &amp; Lightning Protection Systems (Large Site)" u="1"/>
        <s v="Si - RYE HOUSE POWER STATION - Site Earthing &amp; Lightning - Refurb of Earthing &amp; Lightning Protection Systems (Small Site)" u="1"/>
        <s v="Si - DIDCOT POWER STATION - Site Earthing &amp; Lightning - Refurb of Earthing &amp; Lightning Protection Sys (Small Site)" u="1"/>
        <s v="Si - HELSBY - Site Earthing &amp; Lightning - Refurbishment of Earthing &amp; Lightning Protection Systems (Large Site)" u="1"/>
        <s v="Si - SUSWORTH TRENT EAST - Site Earthing &amp; Lightning - Refurbishment of Earthing &amp; Lightning Protection Systems (Small Site)" u="1"/>
        <s v="Si - DRAX - Site Earthing &amp; Lightning - Refurbishment of Earthing &amp; Lightning Protection Systems (Small Site)" u="1"/>
        <s v="Si - ELVANFOOT - Site Earthing &amp; Lightning - Refurbishment of Earthing &amp; Lightning Protection Systems (Large Site)" u="1"/>
        <s v="Si - MICHELMERSH - Site Earthing &amp; Lightning - Refurbishment of Earthing &amp; Lightning Protection Systems (Large Site)" u="1"/>
        <s v="Si - WISBECH NENE WEST - Site Earthing &amp; Lightning - Refurbishment of Earthing &amp; Lightning Protection Systems (Large Site)" u="1"/>
        <s v="Si - NUFFIELD - Site Earthing &amp; Lightning - Refurbishment of Earthing &amp; Lightning Protection Systems (Large Site)" u="1"/>
        <s v="Si - ABERDEEN MULTIJUNCTION - Site Earthing &amp; Lightning - Refurbishment of Earthing &amp; Lightning Protection Systems (Large Site)" u="1"/>
        <s v="Si - WHITWELL - Site Earthing &amp; Lightning - Refurbishment of Earthing &amp; Lightning Protection Systems (Large Site)" u="1"/>
        <s v="Si - BARROW - Site Earthing &amp; Lightning - Refurbishment of Earthing &amp; Lightning Protection Systems (Large Site)" u="1"/>
        <s v="Si - BLACKNESS - Site Earthing &amp; Lightning - Refurbishment of Earthing &amp; Lightning Protection Systems (Small Site)" u="1"/>
        <s v="Si - PETERS GREEN - Small Power - AGI LV Distribution Major Refurb" u="1"/>
        <s v="SI - CHURCHOVER COMPRESSOR STATION - Switchgear - Replacement of electronic protection relays - 2" u="1"/>
        <s v="SI - WORMINGTON COMPRESSOR STATION - Switchgear - Replacement of electronic protection relays - 3" u="1"/>
        <s v="Si-ALREWAS COMPRESSOR STATION-Filters-NT7200STPR-F102-FILTER PSSR ES/94/15 - 2 MAJOR" u="1"/>
        <s v="Si-ALREWAS COMPRESSOR STATION-Filters-NT7200STPR-F104-FILTER PSSR ES/94/15 - 2 MAJOR" u="1"/>
        <s v="Si-LOCATION 09999 TERMINAL-Filters-NT1211A2TP-A2A-FILTER PSSR ES/94/15 - 2 MAJOR" u="1"/>
        <s v="Si-LOCATION 09999 TERMINAL-Filters-NT1211S2TP-S2A-FILTER PSSR ES/94/15 - 2 MAJOR" u="1"/>
        <s v="Si-BILLINGHAM ICI-Filters-NT5117FSS2-5117BFILT-FILTER PSSR ES/94/15 - 2 MAJOR" u="1"/>
        <s v="Si-BILLINGHAM ICI-Filters-NT5117FSS3-5117C-FILTER PSSR ES/94/15 - 2 MAJOR" u="1"/>
        <s v="Si-LOCATION 09999 TERMINAL-Filters-NT1211A2TP-A2D-FILTER PSSR ES/94/15 - 2 MAJOR" u="1"/>
        <s v="Si-HATTON COMPRESSOR STATION-Filters-NT7270UCFU-F507B-FILTER PSSR ES/94/15 - 2 MAJOR" u="1"/>
        <s v="Si-KINGS LYNN COMPRESSOR STATION-Filters-NT7210UBFU-F2103C-FILTER PSSR ES/94/15 - 2 MAJOR" u="1"/>
        <s v="Si-KINGS LYNN COMPRESSOR STATION-Filters-NT7210UBFU-F2103D-FILTER PSSR ES/94/15 - 2 MAJOR" u="1"/>
        <s v="Si-KIRRIEMUIR COMPRESSOR STATION-Filters-NT7252UBFU-UBF221A-FILTER PSSR ES/94/15 - 2 MAJOR" u="1"/>
        <s v="Si-KIRRIEMUIR COMPRESSOR STATION-Filters-NT7252UCFU-UCF231A-FILTER PSSR ES/94/15 - 2 MAJOR" u="1"/>
        <s v="Si-LITTLE BARFORD POWER STATION-Filters-NT2826FSS2-2826BFILT-FILTER PSSR ES/94/15 - 2 MAJOR" u="1"/>
        <s v="Si-MEDWAY POWER-Filters-NT2730FSS2-2730BFILT-FILTER PSSR ES/94/15 - 2 MAJOR" u="1"/>
        <s v="Si-MOFFAT OFFTAKE-Filters-NT7040FSS1-7040AFILT-FILTER PSSR ES/94/15 - 2 MAJOR" u="1"/>
        <s v="Si-NETHER KELLET COMPRESSOR STATION-Filters-NT7285UAFU-S101A-FILTER PSSR ES/94/15 - 2 MAJOR" u="1"/>
        <s v="Si-NETHER KELLET COMPRESSOR STATION-Filters-NT7285UBFU-S102B-FILTER PSSR ES/94/15 - 2 MAJOR" u="1"/>
        <s v="Si-PETERBOROUGH POWER STATION-Filters-NT1230FSS1-1230AFILT-FILTER PSSR ES/94/15 - 2 MAJOR" u="1"/>
        <s v="Si-STALLINGBOROUGH-Filters-NT1908FSS2-1908BFILT-FILTER PSSR ES/94/15 - 2 MAJOR" u="1"/>
        <s v="Si-STALLINGBOROUGH-Filters-NT1908FSS3-1908CFILT-FILTER PSSR ES/94/15 - 2 MAJOR" u="1"/>
        <s v="Si-THORNTON CURTIS B &amp; C-Filters-NT1905FSS1-1905AFILT-FILTER PSSR ES/94/15 - 2 MAJOR" u="1"/>
        <s v="Si-THORNTON CURTIS B &amp; C-Filters-NT1905FSS2-1905BFILT-FILTER PSSR ES/94/15 - 2 MAJOR" u="1"/>
        <s v="Si-WISBECH COMPRESSOR STATION-Filters-NT7245STPR-F501B-FILTER PSSR ES/94/15 - 2 MAJOR" u="1"/>
        <s v="Si-WOOLER COMPRESSOR STATION-Filters-NT7250STPR-F2302B-FILTER PSSR ES/94/15 - 2 MAJOR" u="1"/>
        <s v="Si-LOCATION 09999 TERMINAL-Filters-NT1211A2TP-A2E-FILTER PSSR ES/94/15 - 2 MAJOR" u="1"/>
        <s v="Si-RYE HOUSE POWER STATION-Filters-NT2816FSS2-2816BFILT-FILTER PSSR ES/94/15 - 2 MAJOR" u="1"/>
        <s v="Si-RYE HOUSE POWER STATION-Filters-NT2816FSS3-2816CFILT-FILTER PSSR ES/94/15 - 2 MAJOR" u="1"/>
        <s v="Si - LOCATION 09999 TERMINAL - Heat Exchangers -NT1211TEPP-E1602A- ES/14/01 INT SHELL &amp; TUBE INSPECTION - FY29" u="1"/>
        <s v="Si - CORBY POWER STATION - Heat Exchangers -NT1240HPR1-1240CHEX- ES/14/01 INT SHELL &amp; TUBE INSPECTION - FY27" u="1"/>
        <s v="Si - MEDWAY POWER - Heat Exchangers -NT2730HES1-2730AHEX- ES/14/01 INT SHELL &amp; TUBE INSPECTION - FY30" u="1"/>
        <s v="Si - MEDWAY POWER - Heat Exchangers -NT2730HES2-2730BHEX- ES/14/01 INT SHELL &amp; TUBE INSPECTION - FY30" u="1"/>
        <s v="Si - RYE HOUSE POWER STATION - Heat Exchangers -NT2816HES4-2816D- ES/94/10.1 - PRESSURE VESSEL A/G - FY28" u="1"/>
        <s v="Si - BRIGG POWER STATION - Heat Exchangers -NT1744HES1-1744AHEX- ES/14/01 INT SHELL &amp; TUBE INSPECTION - FY30" u="1"/>
        <s v="Si - BRIGG POWER STATION - Heat Exchangers -NT1744HES2-1744BHEX- ES/14/01 INT SHELL &amp; TUBE INSPECTION - FY31" u="1"/>
        <s v="Si - BRIGG POWER STATION - Heat Exchangers -NT1744HES4-1744DHEX- ES/14/01 INT SHELL &amp; TUBE INSPECTION - FY31" u="1"/>
        <s v="Si - KEADBY POWER STATION - Heat Exchangers -NT1757HES3-1757CHEX- ES/14/01 INT SHELL &amp; TUBE INSPECTION - FY29" u="1"/>
        <s v="Si - STALLINGBOROUGH - Heat Exchangers -NT1908HES1-1908A- ES/14/01 INT SHELL &amp; TUBE INSPECTION - FY31" u="1"/>
        <s v="Si - STALLINGBOROUGH - Heat Exchangers -NT1908HES2-1908B- ES/14/01 INT SHELL &amp; TUBE INSPECTION - FY31" u="1"/>
        <s v="Si - LITTLE BARFORD POWER STATION - Heat Exchangers -NT2826HES2-2826B- ES/14/01 INT SHELL &amp; TUBE INSPECTION - FY31" u="1"/>
        <s v="Si - WOOLER COMPRESSOR STATION - Heat Exchangers -NT7250STPR-E501- ES/14/01 INT SHELL &amp; TUBE INSPECTION - FY30" u="1"/>
        <s v="Si - DIDCOT POWER STATION - Heat Exchangers -NT2034HPR1-2034A- ES/14/01 INT SHELL &amp; TUBE INSPECTION - FY29" u="1"/>
        <s v="Si - CENTRAX OT - Heat Exchangers -NT3877HES2-3877BHEX- ES/14/01 INT SHELL &amp; TUBE INSPECTION - FY29" u="1"/>
        <s v="Si - ABERDEEN COMPRESSOR STATION - Site Earthing &amp; Lightning - Aberdeen Earthing &amp; Lightning System Remediation" u="1"/>
        <s v="Si - ALREWAS COMPRESSOR STATION - Compressor Distribution Individual Board replacement - DB12" u="1"/>
        <s v="Si - ALREWAS COMPRESSOR STATION - Compressor Distribution Individual Board replacement - DB13" u="1"/>
        <s v="Si - ALREWAS COMPRESSOR STATION - Compressor Distribution Individual Board replacement - DB20" u="1"/>
        <s v="Si - ALREWAS COMPRESSOR STATION - Compressor Distribution Individual Board replacement - MVMD3" u="1"/>
        <s v="Si - ALREWAS COMPRESSOR STATION - Compressor Distribution Individual Board replacement - MVMD4" u="1"/>
        <s v="Si - ALREWAS COMPRESSOR STATION - Compressor Distribution Individual Board replacement - MVMG2" u="1"/>
        <s v="Si - ALREWAS COMPRESSOR STATION - Compressor Distribution Individual Board replacement - MVMK2" u="1"/>
        <s v="Si - ALREWAS COMPRESSOR STATION - Compressor Distribution Individual Board replacement - MVMF2" u="1"/>
        <s v="Si - ALREWAS COMPRESSOR STATION - Compressor Distribution Individual Board replacement - D04" u="1"/>
        <s v="Si - AYLESBURY COMPRESSOR STATION - Compressor Distribution Individual Board replacement - D1858" u="1"/>
        <s v="Si - AYLESBURY COMPRESSOR STATION - Compressor Distribution Individual Board replacement - DB02" u="1"/>
        <s v="Si - AYLESBURY COMPRESSOR STATION - Compressor Distribution Individual Board replacement - FB11" u="1"/>
        <s v="Si - AYLESBURY COMPRESSOR STATION - Compressor Distribution Individual Board replacement - FB12" u="1"/>
        <s v="Si - CHURCHOVER COMPRESSOR STATION - Compressor Distribution Individual Board replacement - D02" u="1"/>
        <s v="Si - HATTON COMPRESSOR STATION - Compressor Distribution Individual Board replacement - DB005" u="1"/>
        <s v="Si - HATTON COMPRESSOR STATION - Compressor Distribution Individual Board replacement - DB10" u="1"/>
        <s v="Si - HATTON COMPRESSOR STATION - Compressor Distribution Individual Board replacement - DB25" u="1"/>
        <s v="Si - HATTON COMPRESSOR STATION - Compressor Distribution Individual Board replacement - DB3" u="1"/>
        <s v="Si - HATTON COMPRESSOR STATION - Compressor Distribution Individual Board replacement - DB4" u="1"/>
        <s v="Si - HATTON COMPRESSOR STATION - Compressor Distribution Individual Board replacement - DB5" u="1"/>
        <s v="Si - HATTON COMPRESSOR STATION - Compressor Distribution Individual Board replacement - LVS1C1A" u="1"/>
        <s v="Si - HATTON COMPRESSOR STATION - Compressor Distribution Individual Board replacement - LVS1F5" u="1"/>
        <s v="Si - HATTON COMPRESSOR STATION - Compressor Distribution Individual Board replacement - LVS1J5" u="1"/>
        <s v="Si - HATTON COMPRESSOR STATION - Compressor Distribution Individual Board replacement - LVS1K3" u="1"/>
        <s v="Si - HATTON COMPRESSOR STATION - Compressor Distribution Individual Board replacement - DB122" u="1"/>
        <s v="Si - KINGS LYNN COMPRESSOR STATION - Compressor Distribution Individual Board replacement - M002" u="1"/>
        <s v="Si - KINGS LYNN COMPRESSOR STATION - Compressor Distribution Individual Board replacement - STNDITBRDLIGHTS" u="1"/>
        <s v="Si - KINGS LYNN COMPRESSOR STATION - Compressor Distribution Individual Board replacement - STNDITBRDPOWER" u="1"/>
        <s v="Si - WORMINGTON COMPRESSOR STATION - Compressor Distribution Individual Board replacement - DBB" u="1"/>
        <s v="Si - WORMINGTON COMPRESSOR STATION - Compressor Distribution Individual Board replacement - MDL02" u="1"/>
        <s v="Si - LOCKERLEY COMPRESSOR STATION - Compressor Distribution Individual Board replacement - D10" u="1"/>
        <s v="Si - LOCKERLEY COMPRESSOR STATION - Compressor Distribution Individual Board replacement - D15" u="1"/>
        <s v="Si - LOCKERLEY COMPRESSOR STATION - Compressor Distribution Individual Board replacement - DB2" u="1"/>
        <s v="Si - LOCKERLEY COMPRESSOR STATION - Compressor Distribution Individual Board replacement - DB1A" u="1"/>
        <s v="Si - ASSELBY - Pipework - A/G Pipework - CM/4 Defect Resolution" u="1"/>
        <s v="Si - DRAX - Pipework - A/G Pipework - CM/4 Defect Resolution" u="1"/>
        <s v="Si - EPPING GREEN - Pipework - A/G Pipework - CM/4 Defect Resolution" u="1"/>
        <s v="Si - LITTLE BARNINGHAM - Pipework - A/G Pipework - CM/4 Defect Resolution" u="1"/>
        <s v="Si - PAULL MULTIJUNCTION - Pipework - A/G Pipework - CM/4 Defect Resolution" u="1"/>
        <s v="Si - PETERBOROUGH COMPRESSOR STATION - Pipework - A/G Pipework - CM/4 Defect Resolution" u="1"/>
        <s v="Si - SADDLEBOW - Pipework - A/G Pipework - CM/4 Defect Resolution" u="1"/>
        <s v="Si - SUSWORTH TRENT EAST - Pipework - A/G Pipework - CM/4 Defect Resolution" u="1"/>
        <s v="Si - TIMBERLAND - Pipework - A/G Pipework - CM/4 Defect Resolution" u="1"/>
        <s v="Si - BRISLEY - Pipework - A/G Pipework - CM/4 Defect Resolution" u="1"/>
        <s v="Si - HOLFORD - Pipework - A/G Pipework - CM/4 Defect Resolution" u="1"/>
        <s v="Si - HORNSEA - Pipework - A/G Pipework - CM/4 Defect Resolution" u="1"/>
        <s v="Si - NANTWICH - Pipework - A/G Pipework - CM/4 Defect Resolution" u="1"/>
        <s v="Si - STANFORD-Le-Hope - Pipework - A/G Pipework - CM/4 Defect Resolution" u="1"/>
        <s v="Si - WALESBY - Pipework - A/G Pipework - CM/4 Defect Resolution" u="1"/>
        <s v="Si - LOCATION 09999 - Storage Tanks - Replace steel tanks RIIO-3 - Draw Down" u="1"/>
        <s v="Si - SILK WILLOUGHBY - Silk Willoghby Redundant Valve Decommissioning" u="1"/>
        <s v="Si - BRIGG POWER STATION - Brigg Redundant Regulator Stream Decommissioning" u="1"/>
        <s v="Si - CARLISLE 'A' - Carlisle Redundant Valve Decommissioning" u="1"/>
        <s v="Si - HAWARDEN - Shotton redundant site decommissioning" u="1"/>
        <s v="Si - LOCATION 09999 - Customer Site Decommissioning RIIO3 - Draw Down" u="1"/>
        <s v="Si - WESTON POINT - Regulators - Replace Regulator Stream (Single) -2" u="1"/>
        <s v="Si - CAMBRIDGE COMPRESSOR STATION - Uninterruptible Power Supply - Replace Piller Rotary UPS (Compressors) - Unit C" u="1"/>
        <s v="Si - NETHER KELLET COMPRESSOR STATION - Uninterruptible Power Supply - Replace Piller Rotary UPS (Compressors) - Unit A" u="1"/>
        <s v="Si - FELINDRE COMPRESSOR STATION - Switchgear - Replace on MCC switchgear - Unit B MCC" u="1"/>
        <s v="Si - HATTON COMPRESSOR STATION - Uninterruptible Power - Replacement of Uninterruptible Motor Drives (UMD) - Unit D" u="1"/>
        <s v="Si - LOCATION 09999 TERMINAL - Pipework - Partial Zone Coating - CM/4 Zone 1" u="1"/>
        <s v="Si - LOCATION 09999 - 1211-ST-52-2 - STRUCTURES EQUIP - Building Major Refurb - Defect: 9488" u="1"/>
        <s v="Si - LOCATION 09999 - 1211-S4-53-12 - VALVE S413A - Valve Overhaul  - Defect: 3531018" u="1"/>
        <s v="Si - BURWELL - 1325-SS-38-1 - ROADWAY CONCRETE - Refurbish Site Road/Path (Tarmac) - Defect: 8820" u="1"/>
        <s v="Si - DYMOCK - 3919-SS-52-1 - Pits - Break out of Pit Infrastructure - Defect: 8142" u="1"/>
        <s v="Si - ELVEDEN - 1321-SS-53-2 - NON CRITICAL VALVE 03 - Vent &amp; sealant line replacement  - Defect: 22935" u="1"/>
        <s v="Si - KINGS LYNN COMPRESSOR - 7210-ST-31-1 - PROCESS PIPEWORK - Valve Replacement  - Defect: 3921341" u="1"/>
        <s v="Si - KINGS LYNN COMPRESSOR -  - SCRUBBER B SUCTION BALL VALVE 214 - Valve Replacement  - Defect: 5862" u="1"/>
        <s v="Si - LITTLE BURDON - 4829-SS-53-21 - CRITICAL VALVE 09 - Valve Replacement  - Defect: 539818" u="1"/>
        <s v="Si - MARYKIRK - 6223-SS-52-1 - Gate and Fencing - Replace gate and associated furniture - Defect: 30213" u="1"/>
        <s v="Si - MONIFIETH - 6335-SS-38-1 - ROADWAY CONCRETE - Refurbish Site Road/Path (Concrete) - Defect: 6807" u="1"/>
        <s v="Si - NUFFIELD - 2035-SS-53-11 - CRITICAL NON ROV VALVE 07 - Vent &amp; sealant line replacement  - Defect: 10956" u="1"/>
        <s v="Si - NUFFIELD - 2035-SS-53-10 - CRITICAL NON ROV VALVE 01 - Vent &amp; sealant line replacement  - Defect: 10989" u="1"/>
        <s v="Si - PAULL - 1113-SS-2-33 - ACTUATOR - GAS/HYDRAULIC 73 - Actuator Replacement - Defect: 52640" u="1"/>
        <s v="Si - RYE HOUSE PS - 2816-SS-53-6 - NON CRITICAL VALVE 03 - Valve Replacement  - Defect: 8433" u="1"/>
        <s v="Si - SUFFIELD - 1411-SS-52-1 - Road - Refurbish Site Road/Path (Concrete) - Defect: 6726" u="1"/>
        <s v="Si-Roudham Heath- Valve 131913- Removal" u="1"/>
        <s v="Si-ABRIDGE-Valve-812529VLV-Install Bypass" u="1"/>
        <s v="Si-PUCKLECHURCH-Valve-383304VLV-Install Bypass" u="1"/>
        <s v="Si - ALREWAS MULTIJUNCTION - Actuator Replacement - NT8157ROV1-815738ACT" u="1"/>
        <s v="Si - BISHOP AUCKLAND - Sealant Port Adaption - NT4841VNC1-484103VLV" u="1"/>
        <s v="Si - BISHOP AUCKLAND - Valve Replacement - NT4841VCR1-484114VLV" u="1"/>
        <s v="Si - BOON - Valve Replacement - NT4937VCR1-493703VLV" u="1"/>
        <s v="Si - CAMBRIDGE COMPRESSOR STATION - Valve Replacement - NT7235UCDP-MV2303" u="1"/>
        <s v="Si - COLDSTREAM - Valve Replacement - NT4929VNC1-492901VLV" u="1"/>
        <s v="Si - DOWLAIS - Valve Replacement - NT3933VNC1-393306VLV" u="1"/>
        <s v="Si - Elton - Sealant Port Adaption - NT5111VCR1-511107VLV" u="1"/>
        <s v="Si - Elton - Sealant Port Adaption - NT5111VNC1-511125VLV" u="1"/>
        <s v="Si - Garvald - Actuator Replacement - NT6347VCR1-01GHY" u="1"/>
        <s v="Si - HATTON COMPRESSOR STATION - Valve Replacement - NT7270UASP-HZV2103" u="1"/>
        <s v="Si - Hume - Actuator Replacement - NT4935VNC1-07GBX" u="1"/>
        <s v="Si - HUNTINGDON - Actuator Replacement - NT2017ROV1-201712ACT" u="1"/>
        <s v="Si - HUNTINGDON COMPRESSOR STATION - Valve Replacement - NT7205UBRP-V2241" u="1"/>
        <s v="Si - KIRRIEMUIR COMPRESSOR STATION - Valve Replacement - NT7252UADP-V2106" u="1"/>
        <s v="Si - KIRRIEMUIR COMPRESSOR STATION - Actuator Control Replacement - NT7252UADP-V2106A" u="1"/>
        <s v="Si - NETHER KELLET COMPRESSOR STATION - Valve Replacement - NT7285UBRP-ASV0092" u="1"/>
        <s v="Si - PENICUIK - Stem Seal Replacement - NT4943VCR1-494303VLV" u="1"/>
        <s v="Si - Penicuik - Stem Seal Replacement - NT4943VNC1-494305VLV" u="1"/>
        <s v="Si - PUCKLECHURCH - Valve Replacement - NT3833VNC1-383327VLV" u="1"/>
        <s v="Si - SEABANK - Vent And Sealant Line Replacement - NT4015VNC1-401501VLV" u="1"/>
        <s v="Si - Simprim - Actuator Replacement - NT6353VNC1-635306ACT" u="1"/>
        <s v="Si - STEPPINGLEY - Actuator Replacement - NT2023VNC1-202356ACT" u="1"/>
        <s v="Si - WORMINGTON - Actuator Replacement - NT3823ROV1-382355ACT" u="1"/>
        <s v="Si - YELVERTON - Actuator Replacement - NT1515ROV1-151508ACT" u="1"/>
        <s v="Si - YELVERTON - Actuator Replacement - NT1515ROV1-151503ACT" u="1"/>
        <s v="Si - BISHOP AUCKLAND - Actuator Replacement - NT4841ROV1-484163ACT" u="1"/>
        <s v="Si - Hume - Actuator Replacement - NT4935VNC1-09GBX" u="1"/>
        <s v="Si - PANNAL - Actuator Replacement - NT1773VNC1-177308ACT" u="1"/>
        <s v="Si - SILK WILLOUGHBY - Sealant Port Adaption - NT1915ROV1-191543VLV" u="1"/>
        <s v="Si - Billingham Ici - Valves - Replace Filter Isolation Valve with Double Block" u="1"/>
        <s v="Si - Centrax Ot - Valves - Replace Filter Isolation Valve with Double Block" u="1"/>
        <s v="Si - Corby Power Station - Valves - Replace Filter Isolation Valve with Double Block" u="1"/>
        <s v="Si - LOCKERLEY COMPRESSOR STATION - Standby Generators - Standby Generator Battery Replacement" u="1"/>
        <s v="Si - ALREWAS COMPRESSOR STATION - Standby Generators - Standby Generator Battery Replacement" u="1"/>
        <s v="Si - AVONBRIDGE COMPRESSOR STATION - Standby Generators - Standy Generator Control System Replacement" u="1"/>
        <s v="Si - FELINDRE COMPRESSOR STATION - Power Transformer - Install Transec Unit - 2 Units" u="1"/>
        <s v="Si - HATTON COMPRESSOR STATION - Power Transformer - Install Transec Unit - 2 Units" u="1"/>
        <s v="Si - LOCKERLEY COMPRESSOR STATION - Power Transformer - Install Transec Units - VSD 2 Converter Transformer" u="1"/>
        <s v="Si - LOCKERLEY COMPRESSOR STATION - Power Transformer - Install Transec Units - Station 1A Distribution Transformer" u="1"/>
        <s v="Si - WESTON POINT - Heaters And Boilers - Refurbish Water Bath Heater (WBH)" u="1"/>
        <s v="Si - KINGS LYNN COMP. TEE - Pits - Break Out Of Pit Infrastructure - Pit 7" u="1"/>
        <s v="Si - WOOLER - Pits - Break Out Of Pit Infrastructure - Pit 5" u="1"/>
        <s v="Si - ABERDEEN MULTIJUNCTION - Buildings - Building Minor Refurb - 602109" u="1"/>
        <s v="Si - ABERDEEN MULTIJUNCTION - Buildings - Building Minor Refurb - 602133" u="1"/>
        <s v="Si - ABERDEEN MULTIJUNCTION - Buildings - Building Minor Refurb - 602131" u="1"/>
        <s v="Si - CHELMSFORD COMPRESSOR STATION - Pipework - A/G Pipework - CM/4 Defect Resolution" u="1"/>
        <s v="Si - CILFREW - Pipework - A/G Pipework - CM/4 Defect Resolution" u="1"/>
        <s v="Si - HALTWHISTLE - Pipework - A/G Pipework - CM/4 Defect Resolution" u="1"/>
        <s v="Si - HERBRANDSTON - Pipework - A/G Pipework - CM/4 Defect Resolution" u="1"/>
        <s v="Si - KEADBY POWER STATION - Pipework - A/G Pipework - CM/4 Defect Resolution" u="1"/>
        <s v="Si - MATCHING GREEN - Pipework - A/G Pipework - CM/4 Defect Resolution" u="1"/>
        <s v="Si - SHOCKLACH - Pipework - A/G Pipework - CM/4 Defect Resolution" u="1"/>
        <s v="Si - WOLVISTON - Pipework - A/G Pipework - CM/4 Defect Resolution" u="1"/>
        <s v="Si - BILLERICAY - Pipework - A/G Pipework - CM/4 Defect Resolution" u="1"/>
        <s v="Si - DENNY - Pipework - A/G Pipework - CM/4 Defect Resolution" u="1"/>
        <s v="Si - FELTHORPE - Pipework - A/G Pipework - CM/4 Defect Resolution" u="1"/>
        <s v="Si - LANCHESTER - Pipework - A/G Pipework - CM/4 Defect Resolution" u="1"/>
        <s v="Si - NEW WIMPOLE - Pipework - A/G Pipework - CM/4 Defect Resolution" u="1"/>
        <s v="Si - GOSBERTON- Actuator Replacement - NT1733ROV1-173303ACT" u="1"/>
        <s v="Si - NORTH - Spares - Valve spares" u="1"/>
        <s v="Si - BRETFORD- Hordon redundant valves decommissioning" u="1"/>
        <s v="Si - CARNFORTH COMPRESSOR STATION - Valves - Valve Replacement  - NT7256UBSC-V1301" u="1"/>
        <s v="Si - KINKNOCKIE - Valves - Sealant Port Adaption - NT6111VCR1-611101VLV" u="1"/>
        <s v="Si - TILBURY THAMES NORTH - Valves - vent &amp; sealant line installation  - NT2731ANC1- 13ANCVLV" u="1"/>
        <s v="Si - TIRLEY PRI - Valves - Actuator Replacement - NT4629ROV1-462914ACT" u="1"/>
        <s v="Si - TIRLEY PRI - Valves - Actuator Replacement - NT4629ROV1-462939ACT" u="1"/>
        <s v="Si - TIRLEY PRI - Valves - Actuator Replacement - NT4629ROV1-462951ACT" u="1"/>
        <s v="Si - STEPPINGLEY - Valves - Actuator Replacement - NT2023VCR1-202351ACT" u="1"/>
        <s v="Si - HATTON COMPRESSOR STATION - Valves - Valve Replacement  - NT7270UASP-HZV2146" u="1"/>
        <s v="Si - NETHER KELLET COMPRESSOR STATION - Valves - Actuator Overhaul  - NT7285UADP-XV0121A" u="1"/>
        <s v="Si - NETHER KELLET COMPRESSOR STATION - Valves - Actuator Overhaul  - NT7285UASP-XV0081A" u="1"/>
        <s v="Si - NETHER KELLET COMPRESSOR STATION - Valves - Actuator Overhaul  - NT7285UBDP-XV0122A" u="1"/>
        <s v="Si - NETHER KELLET COMPRESSOR STATION - Valves - Actuator Overhaul  - NT7285UBSP-XV0082A" u="1"/>
        <s v="Si - CHELMSFORD COMPRESSOR STATION - Valve Replacement  - NT7230UAFU-MV2130" u="1"/>
        <s v="Si - CHELMSFORD COMPRESSOR STATION - Valve Replacement  - NT7230UBFU-MV2129" u="1"/>
        <s v="Si - CHELMSFORD COMPRESSOR STATION - Valve Replacement  - NT7230UBFU-MV2130" u="1"/>
        <s v="Si - FELINDRE COMPRESSOR STATION - Actuator Replacement - NT7295UASP-XZV210003A" u="1"/>
        <s v="Si - FELINDRE COMPRESSOR STATION - Actuator Replacement - NT7295UCCD-XZV230046A" u="1"/>
        <s v="Si - FELINDRE COMPRESSOR STATION - Actuator Replacement - NT7295UBGV-XZV820001A" u="1"/>
        <s v="Si - Pigdon - Block valve replacement" u="1"/>
        <s v="Si - DISS COMPRESSOR STATION - Pipework - AGI Inspection Tool Survey - Connection 1 Inspection 1" u="1"/>
        <s v="Si - LOCATION 09999 TERMINAL - Pipework - AGI Inspection Tool Survey - Connection 1 Inspection 1" u="1"/>
        <s v="Si - KIRRIEMUIR COMPRESSOR STATION - Pipework - AGI Inspection Tool Survey - Connection 1 Inspection 1" u="1"/>
        <s v="Si - ALREWAS COMPRESSOR STATION - Pipework - AGI Inspection Tool Survey - Connection 1 Inspection 1" u="1"/>
        <s v="Si - DISS COMPRESSOR STATION - Pipework - AGI Inspection Tool Survey - Connection 2 Inspection 1" u="1"/>
        <s v="Si - KINGS LYNN COMPRESSOR STATION - Pipework - AGI Inspection Tool Survey - Connection 2 Inspection 1" u="1"/>
        <s v="Si - BISHOP AUCKLAND COMPRESSOR STATION - Pipework - AGI Inspection Tool Survey - Connection 2 Inspection 1" u="1"/>
        <s v="Si - KIRRIEMUIR COMPRESSOR STATION - Pipework - AGI Inspection Tool Survey - Connection 2 Inspection 1" u="1"/>
        <s v="Si - TYDD ST. GILES - Pipework - AGI Inspection Tool Survey - Connection 2 Inspection 1" u="1"/>
        <s v="Si - EASINGTON - Valve - HIPPS FEED Study - Easington Centrica Incomer" u="1"/>
        <s v="Si - TEESSIDE - Valve - HIPPS FEED Study - Teesside PX Incomer" u="1"/>
        <s v="Si - ISLE OF GRAIN - Valve - HIPPS FEED Study - Incomer" u="1"/>
        <s v="Si - KIRRIEMUIR COMPRESSOR STATION - Pressure Vessel - Overpressure protection study" u="1"/>
        <s v="Si - PETERBOROUGH COMPRESSOR STATION - Pressure Vessel - Overpressure protection study" u="1"/>
        <s v="Si - AVONBRIDGE COMPRESSOR STATION - Pressure Vessel - Overpressure protection study" u="1"/>
        <s v="Si - BISHOP AUCKLAND COMPRESSOR STATION - Pressure Vessel - Overpressure protection study" u="1"/>
        <s v="Si - CAMBRIDGE COMPRESSOR STATION - Pressure Vessel - Overpressure protection study and repalcement of relief valve" u="1"/>
        <s v="Si - DISS COMPRESSOR STATION - Pressure Vessel - Overpressure protection study and repalcement of relief valve" u="1"/>
        <s v="Si - KINGS LYNN COMPRESSOR STATION - Pressure Vessel - Overpressure protection study" u="1"/>
        <s v="Si - WARRINGTON COMPRESSOR STATION - Pressure Vessel - Overpressure protection study" u="1"/>
        <s v="Si - BRIGG POWER STATION - Pressure Vessel - Overpressure protection study and repalcement of relief valve" u="1"/>
        <s v="Si - CENTRAX OT - Pressure Vessel - Overpressure protection study and repalcement of relief valve" u="1"/>
        <s v="Si - CILFREW - Pressure Vessel - Overpressure protection study and repalcement of relief valve" u="1"/>
        <s v="Si - CORBY POWER STATION - Pressure Vessel - Overpressure protection study and repalcement of relief valve" u="1"/>
        <s v="Si - DIDCOT POWER STATION - Pressure Vessel - Overpressure protection study and repalcement of relief valve" u="1"/>
        <s v="Si - KINGS LYNN POWER STATION - Pressure Vessel - Overpressure protection study and repalcement of relief valve" u="1"/>
        <s v="Si - MEDWAY POWER - Pressure Vessel - Overpressure protection study and repalcement of relief valve" u="1"/>
        <s v="Si - TREADDOW - Pressure Vessel - Overpressure protection study and repalcement of relief valve" u="1"/>
        <s v="Si - BISHOP AUCKLAND - Pressure Vessel - Overpressure protection study and repalcement of relief valve" u="1"/>
        <s v="Si - LUPTON MULTIJUNCTION - Pressure Vessel - Overpressure protection study and repalcement of relief valve" u="1"/>
        <s v="Si - LOCATION 09999 TERMINAL - Pressure Vessel - Overpressure protection study and repalcement of relief valve" u="1"/>
        <s v="Si - MOFFAT OFFTAKE - Pressure Vessel - Overpressure protection study and repalcement of relief valve" u="1"/>
        <s v="Si - RYE HOUSE POWER STATION - Pressure Vessel - Overpressure protection study and repalcement of relief valve" u="1"/>
        <s v="Si - AUDLEY - Pressure Vessel - Overpressure protection study and repalcement of relief valve" u="1"/>
        <s v="Si - GRAVESEND THAMES SOUTH - Pressure Vessel - Overpressure protection study and repalcement of relief valve" u="1"/>
        <s v="Si - LUPTON OFFTAKE - Pressure Vessel - Overpressure protection study and repalcement of relief valve" u="1"/>
        <s v="Si - BARNHEAD - Pressure Vessel - Overpressure protection study and repalcement of relief valve" u="1"/>
        <s v="Si - BRACEBOROUGH - Pressure Vessel - Overpressure protection study and repalcement of relief valve" u="1"/>
        <s v="Si - CARNFORTH - Pressure Vessel - Overpressure protection study and repalcement of relief valve" u="1"/>
        <s v="Si - CHALGROVE - Pressure Vessel - Overpressure protection study and repalcement of relief valve" u="1"/>
        <s v="Si - HORNDON 'A' - Pressure Vessel - Overpressure protection study and repalcement of relief valve" u="1"/>
        <s v="Si - LLANGYNOG - Pressure Vessel - Overpressure protection study and repalcement of relief valve" u="1"/>
        <s v="Si - LONGFORMACUS - Pressure Vessel - Overpressure protection study and repalcement of relief valve" u="1"/>
        <s v="Si - MONIFIETH - Pressure Vessel - Overpressure protection study and repalcement of relief valve" u="1"/>
        <s v="Si - PITSCOTTIE - Pressure Vessel - Overpressure protection study and repalcement of relief valve" u="1"/>
        <s v="Si - TAYPORT - Pressure Vessel - Overpressure protection study and repalcement of relief valve" u="1"/>
        <s v="Si - WOOLER - Pressure Vessel - Overpressure protection study and repalcement of relief valve" u="1"/>
        <s v="Si - ABERDEEN MULTIJUNCTION - Pressure Vessel - Overpressure protection study and repalcement of relief valve" u="1"/>
        <s v="Si - BLACKNESS - Pressure Vessel - Overpressure protection study and repalcement of relief valve" u="1"/>
        <s v="Si - GUYZANCE - Pressure Vessel - Overpressure protection study and repalcement of relief valve" u="1"/>
        <s v="Si - HONEYBOURNE - Pressure Vessel - Overpressure protection study and repalcement of relief valve" u="1"/>
        <s v="Si - MIDDLESTOKE - Pressure Vessel - Overpressure protection study and repalcement of relief valve" u="1"/>
        <s v="Si - KIRRIEMUIR - Pressure Vessel - Overpressure protection study and repalcement of relief valve" u="1"/>
        <s v="Si - BISHOP AUCKLAND COMPRESSOR STATION - Flood Risk - Temporary flood interventions" u="1"/>
        <s v="Si - PETERBOROUGH COMPRESSOR STATION - Flood Risk - Temporary flood interventions" u="1"/>
        <s v="Si - TILBURY THAMES AGI - Flood Risk - Temporary flood interventions" u="1"/>
        <s v="Si - ABERDEEN COMPRESSOR STATION - Flood Risk - Studies for permanent mitigation" u="1"/>
        <s v="Si - AVONBRIDGE COMPRESSOR STATION - Flood Risk - Studies for permanent mitigation" u="1"/>
        <s v="Si - BARDSEY - Flood Risk - Studies for permanent mitigation" u="1"/>
        <s v="Si - Thornton Curtiss C and B - Flood Risk - Studies for permanent mitigation" u="1"/>
        <s v="Si - Saddlebow - Flood Risk - Studies for permanent mitigation" u="1"/>
        <s v="Si - Willington - Flood Risk - Studies for permanent mitigation" u="1"/>
        <s v="Si - AYLESBURY COMPRESSOR STATION -  Temperature Risk - Compressors - Studies and costing for compressor stations and sites." u="1"/>
        <s v="Si - CAMBRIDGE COMPRESSOR STATION -  Temperature Risk - Compressors - Studies and costing for compressor stations and sites." u="1"/>
        <s v="Si - CARNFORTH COMPRESSOR STATION -  Temperature Risk - Compressors - Studies and costing for compressor stations and sites." u="1"/>
        <s v="Si - DISS COMPRESSOR STATION -  Temperature Risk - Compressors - Studies and costing for compressor stations and sites." u="1"/>
        <s v="Si - HUNTINGDON COMPRESSOR STATION -  Temperature Risk - Compressors - Studies and costing for compressor stations and sites." u="1"/>
        <s v="Si - DISS COMPRESSOR STATION - Pressure Vessels - Replace Fixed Condensate Tank" u="1"/>
        <s v="Si - HATTON COMPRESSOR STATION - Pressure Vessels - Replace Fixed Condensate Tank" u="1"/>
        <s v="Si - KIRRIEMUIR COMPRESSOR STATION - Pressure Vessels - Replace Fixed Condensate Tank" u="1"/>
        <s v="Si - NETHER KELLET COMPRESSOR STATION &amp; CARNFORTH COMPRESSOR STATION- Pressure Vessels - Replace Fixed Condensate Tank" u="1"/>
        <s v="Si - WORMINGTON COMPRESSOR STATION - Pressure Vessels - Replace Fixed Condensate Tank" u="1"/>
        <s v="Si - GRAVESEND THAMES SOUTH - Cathodic Protection Equipment - CP-Sites-Install Remote Monitor" u="1"/>
        <s v="Si - BOON - Cathodic Protection Equipment - Insulation Joint Intervention - Replace IJ-45606-Boon to Coldstream" u="1"/>
        <s v="Si - BARRINGTON - Cathodic Protection Equipment - Insulation Joint Intervention - Replace IJ-45292-IJ3" u="1"/>
        <s v="Si - CORBRIDGE  - Cathodic Protection Equipment - Insulation Joint Intervention - Replace IJ-5933095-IJ2" u="1"/>
        <s v="Si - SIMPRIM - Cathodic Protection Equipment - Insulation Joint Intervention - Replace IJ-45505-Haddington to Simprim" u="1"/>
        <s v="Si - ABERDEEN COMPRESSOR STATION - Cathodic Protection Equipment - CP Survey-36967-Corrosion and CP related faults" u="1"/>
        <s v="Si - ALREWAS COMPRESSOR STATION - Cathodic Protection Equipment - CP Survey-44364-CIPS profile defects" u="1"/>
        <s v="Si - AVONBRIDGE COMPRESSOR STATION - Cathodic Protection Equipment - CP Survey-36968-ISS Stray current" u="1"/>
        <s v="Si - BARTON STACEY - Cathodic Protection Equipment - CP Survey_Interaction" u="1"/>
        <s v="Si - BISHOP AUCKLAND COMPRESSOR STATION - Cathodic Protection Equipment - CP Survey_CIPS defect location(2 defects)" u="1"/>
        <s v="Si - BLYBOROUGH - Cathodic Protection Equipment - CP Survey_Rebalance" u="1"/>
        <s v="Si - BRAISHFIELD - Cathodic Protection Equipment - CP Survey_Rebalance" u="1"/>
        <s v="Si - CARNFORTH COMPRESSOR STATION - Cathodic Protection Equipment - CP Survey_CIPS defect location(12 defects)" u="1"/>
        <s v="Si - COLDSTREAM - Cathodic Protection Equipment - CP Survey_Interaction" u="1"/>
        <s v="Si - FELINDRE COMPRESSOR STATION - Cathodic Protection Equipment - CP Survey-45624-Interaction at IJ1, IJ2 &amp; IJ3" u="1"/>
        <s v="Si - FELINDRE MULTIJUNCTION - Cathodic Protection Equipment - CP Survey-45623-Interaction at IJ1, IJ2 &amp; IJ3" u="1"/>
        <s v="Si - GLENMAVIS - Cathodic Protection Equipment - CP Survey_Rebalance" u="1"/>
        <s v="Si - HATTON - Cathodic Protection Equipment - CP Survey-45390-Missing TPs" u="1"/>
        <s v="Si - KENN SOUTH - Cathodic Protection Equipment - CP Survey_Rebalance" u="1"/>
        <s v="Si - KINGS LYNN POWER STATION - Cathodic Protection Equipment - CP Survey_Rebalance" u="1"/>
        <s v="Si - KINKNOCKIE - Cathodic Protection Equipment - CP Survey_CP System Assessement" u="1"/>
        <s v="Si - LOCKERLEY COMPRESSOR STATION - Cathodic Protection Equipment - CP Survey_Rebalance" u="1"/>
        <s v="Si - LUTTON - Cathodic Protection Equipment - CP Survey-45452-Fence interaction and fortuitous/infortuitous connections" u="1"/>
        <s v="Si - MEDWAY POWER - Cathodic Protection Equipment - CP Survey_Interaction" u="1"/>
        <s v="Si - NETHER KELLET - Cathodic Protection Equipment - CP Survey-45036-low potential inbetween CP9 and TP5" u="1"/>
        <s v="Si - SALTEND B.P. - Cathodic Protection Equipment - CP Survey_Rebalance" u="1"/>
        <s v="Si - STALLINGBOROUGH - Cathodic Protection Equipment - CP Survey_AC Interference" u="1"/>
        <s v="Si - TEESSIDE - BASF - Cathodic Protection Equipment - CP Survey_Rebalance" u="1"/>
        <s v="Si - THRINTOFT - Cathodic Protection Equipment - CP Survey_Rebalance" u="1"/>
        <s v="Si - TREALES - Cathodic Protection Equipment - CP Survey_Rebalance" u="1"/>
        <s v="Si - WARBURTON - Cathodic Protection Equipment - CP Survey-45703-IJ2, IJ5 &amp; IJ7 subject to high levels of interaction" u="1"/>
        <s v="Si - WARBURTON MJ - Cathodic Protection Equipment - CP Survey-19142-IJ1 P 7013 reporting high AC CD" u="1"/>
        <s v="Si - WARRINGTON - Cathodic Protection Equipment - CP Survey_Interaction" u="1"/>
        <s v="Si - BILLERICAY - Cathodic Protection Equipment - CP System Replacement_Upgrade" u="1"/>
        <s v="Si - CARNFORTH COMPRESSOR STATION - Cathodic Protection Equipment - CP System Replacement_Upgrade" u="1"/>
        <s v="Si - BARRINGTON - Cathodic Protection Equipment - CP Test Post Intervention_Test Post Installation" u="1"/>
        <s v="Si - BILLINGHAM ICI - Cathodic Protection Equipment - CP Test Post Intervention_Test Post Installation" u="1"/>
        <s v="Si - ELTON - Cathodic Protection Equipment - CP Test Post Intervention_Test Post Installation" u="1"/>
        <s v="Si - GRAVESEND THAMES SOUTH - Cathodic Protection Equipment - CP Test Post Intervention_Test Post Installation" u="1"/>
        <s v="Si - KINGS LYNN COMPRESSOR STATION - Cathodic Protection Equipment - CP Test Post Intervention_Test Post Installation" u="1"/>
        <s v="Si - MEDWAY POWER - Cathodic Protection Equipment - CP Test Post Intervention_DC coupon" u="1"/>
        <s v="Si - PETERS GREEN - Cathodic Protection Equipment - CP Test Post Intervention_Test Post Installation" u="1"/>
        <s v="Si - SHANGTON - Cathodic Protection Equipment - CP Test Post Intervention_Test Post Installation and electrode" u="1"/>
        <s v="Si - THEDDLETHORPE TERMINAL - Cathodic Protection Equipment - CP Test Post Intervention_Test Post Installation" u="1"/>
        <s v="Si - BURSCOUGH - Pipework - Lagging &amp; Cladding - Replacement of Cladding/Lagging (Small Site)" u="1"/>
        <s v="Si - Churchover Multijunction - Small Power - AGI LV Distribution Major Refurb" u="1"/>
        <s v="Si - Corby Power Station - Small Power - AGI LV Distribution Major Refurb" u="1"/>
        <s v="Si - Corby Power Station - Lighting- Column Light - Replace Luminaire and internal column cable RIIO3" u="1"/>
        <s v="Si - Crieff - Lighting- Column Light - Replace Luminaire and internal column cable RIIO3" u="1"/>
        <s v="Si - Duddington - Lighting- Column Light - Replace Luminaire and internal column cable RIIO3" u="1"/>
        <s v="Si - Elton - Small Power - Replacement of Entire AGI Distribution &amp; Wiring Systems" u="1"/>
        <s v="Si - Elvanfoot - Lighting- Column Light - Replace Luminaire and internal column cable RIIO3" u="1"/>
        <s v="Si - Helsby - Small Power - AGI LV Distribution Major Refurb" u="1"/>
        <s v="Si - Helsby - Lighting- Column Light - Replace Luminaire and internal column cable RIIO3" u="1"/>
        <s v="Si - Longtown - Small Power - AGI LV Distribution Major Refurb" u="1"/>
        <s v="Si - Longtown - Lighting- Column Light - Replace Luminaire and internal column cable RIIO3" u="1"/>
        <s v="Si - PAULL MULTIJUNCTION - Small Power - AGI LV Distribution Major Refurb" u="1"/>
        <s v="Si - Peterborough Power Station - Small Power - AGI LV Distribution Major Refurb" u="1"/>
        <s v="Si - PETERBOROUGH POWER STATION - Site Earthing &amp; Lightning - Refurbishment of Earthing &amp; Lightning Protection Systems" u="1"/>
        <s v="Si - Shocklach - Lighting- Column Light - Replace Luminaire and internal column cable RIIO3" u="1"/>
        <s v="Si - Steppingley - Small Power - AGI LV Distribution Major Refurb" u="1"/>
        <s v="Si - Wisbech Nene West - Small Power - AGI LV Distribution Major Refurb" u="1"/>
        <s v="Si - PAULL MULTIJUNCTION - Uninterruptible Power Supply - Replace DC UPS (Small) - AGIs" u="1"/>
        <s v="Si - HOLBEACH BANK - Valves - Sealant Port Adaption" u="1"/>
        <s v="Si - NORTH - Cathodic Protection Equipment - CP - IJ Spares (36 Inch)" u="1"/>
        <s v="Si - NORTH - Cathodic Protection Equipment - CP - IJ Spares (48 Inch)" u="1"/>
        <s v="Si - PETERBOROUGH POWER STATION - Regulators - Replace Regulator Stream (Single) - 2" u="1"/>
        <s v="Si-OTTERY ST. MARY-Valves-Valve Replacement -Si-146" u="1"/>
        <s v="Si-STOWMARKET-Valves-Valve Replacement -Si-146" u="1"/>
        <s v="Si-GREAT WILBRAHAM-CP Test Post-Repair CP Test Posts-P-034" u="1"/>
        <s v="Si-HORNDON 'A'-CP Test Post-Repair CP Test Posts-P-034" u="1"/>
        <s v="Si-HORNBY-Drainage-Repair Drainage-Si-078" u="1"/>
        <s v="Si-ROUGHAM-Roads-Refurbish Site Road/Path (Tarmac)-Si-100" u="1"/>
        <s v="Si-SIMPRIM-Access-Access Relfing-Si-075" u="1"/>
        <s v="Si-HORNDON 'A'-Pipe Supports-Replace Steel Pipe Supports-Si-183" u="1"/>
        <s v="Si-HORNDON 'A'-Pipe Supports-Replace Concrete Pipe Support with Steel-Si-184" u="1"/>
        <s v="Si-PETTINAIN-Fencing-Replace Fencing-Si-130" u="1"/>
        <s v="Si-BATHGATE-Pipework-CM/4 Defect Resolution-Si-070" u="1"/>
        <s v="Si-BROADWAY-Valves-2 x excavation extension and remediation.-SI-242" u="1"/>
        <s v="Si - WEST - Lighting - Column Light, Luminaire &amp; Cable Replacement - Si-204 - Draw Down" u="1"/>
        <s v="Si - WEST - Cabling - Electrical Cabling Replacement - Si-040 - Draw Down" u="1"/>
        <s v="Si - WEST - Road - Road/Path (Concrete) Extension - Si-108 - Draw Down" u="1"/>
        <s v="Si - WEST - Fuel Tank - Fuel Tanks &amp; Bunds Asset Monitoring - Si-198 - Draw Down" u="1"/>
        <s v="Si - WEST - Plinth - Concrete Plinth Repair - Si-229 - Draw Down" u="1"/>
        <s v="Si - WEST - Scrubber - Scrubber Refurbishment - Si-086 - Draw Down" u="1"/>
        <s v="Si - WEST - Road - Site Road/Path Repair (Tarmac) - Si-104 - Draw Down" u="1"/>
        <s v="Si - WEST - Address Site Subsidence - Si-279 - Draw Down" u="1"/>
        <s v="Si - WEST - Valve - Vent &amp; Sealant Line Replacement - Si-152 - Draw Down" u="1"/>
        <s v="Si - WEST - Road - Site Road/Path Refurbishment (Concrete) - Si-101 - Draw Down" u="1"/>
        <s v="Si - WEST - Road - Site Road/Path Refurbishment (Tarmac) - Si-100 - Draw Down" u="1"/>
        <s v="Si - WEST - Site - Address Site Subsidence - Si-074 - Draw Down" u="1"/>
        <s v="Si - WEST - Gate - Gate &amp; Furniture Replacement - Si-121 - Draw Down" u="1"/>
        <s v="Si - WEST - Distrubution Board - Distribution &amp; Wiring System Replacement - Si-156 - Draw Down" u="1"/>
        <s v="Si - WEST - Lighting - Column Light, Luminaire &amp; Cable Replacement - Si-205 - Draw Down" u="1"/>
        <s v="Si - WEST - Valve - Stem Seals Tightening/Adjustment - Si-149 - Draw Down" u="1"/>
        <s v="Si - WEST - Valve - Valve Strip &amp; Condition Assessment - Si-235 - Draw Down" u="1"/>
        <s v="Si - WEST - Pipe Support - Steel Pipe Supports Replacement - Si-183 - Draw Down" u="1"/>
        <s v="Si - WEST - Building - Non-Hazardous Area Lighting Luminaire &amp; Cable Replacement - Si-207 - Draw Down" u="1"/>
        <s v="Si - WEST - Valve - Stabbings Removal &amp; Asset Refurbishment - Si-242 - Draw Down" u="1"/>
        <s v="Si - WEST - Valve - Stabbings Removal &amp; Asset Refurbishment - Si-241 - Draw Down" u="1"/>
        <s v="Si - WEST - Pit - Pit Wall Transition Defect Remediation - Si-185 - Draw Down" u="1"/>
        <s v="Si - WEST - Pipeline - Stopple &amp; Bypass - Si-215 - Draw Down" u="1"/>
        <s v="Si - WEST - Building - Building Minor Refurbishment - Si-214 - Draw Down" u="1"/>
        <s v="Si - WEST - Fence - Fence Repair - Si-131 - Draw Down" u="1"/>
        <s v="Si - WEST - Actuator - Actuator Replacement - Si-144 - Draw Down" u="1"/>
        <s v="Si - EAST - Building - Buildings &amp; Enclosures Asset Monitoring - Si-197 - Draw Down" u="1"/>
        <s v="Si - EAST - Road - Site Road/Path Repair (Tarmac) - Si-104 - Draw Down" u="1"/>
        <s v="Si - EAST - Valve - Vent &amp; Sealant Line Replacement - Si-152 - Draw Down" u="1"/>
        <s v="Si - EAST - Road - Site Road/Path Refurbishment (Tarmac) - Si-100 - Draw Down" u="1"/>
        <s v="Si - EAST - Site - Address Site Subsidence - Si-074 - Draw Down" u="1"/>
        <s v="Si - EAST - UPS - UPS &amp; Battery Room Heating/Cooling Enhancement - Si-021 - Draw Down" u="1"/>
        <s v="Si - EAST - Pit Wall - Pit Wall Transition NDT - Si-079 - Draw Down" u="1"/>
        <s v="Si - EAST - Road - Site Road/Path Refurbishment (Unbound) - Si-103 - Draw Down" u="1"/>
        <s v="Si - EAST - Valve - Stem Seals Tightening/Adjustment - Si-149 - Draw Down" u="1"/>
        <s v="Si - EAST - Ducting - Site Ducting Relifing - Si-196 - Draw Down" u="1"/>
        <s v="Si - EAST - Distrubution Board - LV Distribution Major Refurbishment - Si-175 - Draw Down" u="1"/>
        <s v="Si - EAST - Valve - Stabbings Removal &amp; Asset Refurbishment - Si-240 - Draw Down" u="1"/>
        <s v="Si - EAST - Pipework - A/G Pipework CM/4 Defect Resolution - Si-070 - Draw Down" u="1"/>
        <s v="Si - EAST - Fence - Fence Replacement - Si-130 - Draw Down" u="1"/>
        <s v="Si - EAST - Pipeline - Stopple &amp; Bypass - Si-215 - Draw Down" u="1"/>
        <s v="Si - EAST - Fence - Fence Repair - Si-131 - Draw Down" u="1"/>
        <s v="Si - EAST - Regulator - Pressure Regulator PSSR Remedial - Si-057 - Draw Down" u="1"/>
        <s v="Si - NORTH - Ground Guards - Rodent Protection Ground Guard Installation - Si-129 - Draw Down" u="1"/>
        <s v="Si - NORTH - Fuel Tank - Fuel Tanks &amp; Bunds Asset Monitoring - Si-198 - Draw Down" u="1"/>
        <s v="Si - NORTH - Building - Buildings &amp; Enclosures Asset Monitoring - Si-197 - Draw Down" u="1"/>
        <s v="Si - NORTH - Road - Site Road/Path Repair (Tarmac) - Si-104 - Draw Down" u="1"/>
        <s v="Si - NORTH - Road - Site Road/Path Refurbishment (Concrete) - Si-101 - Draw Down" u="1"/>
        <s v="Si - NORTH - Road - Site Road/Path Refurbishment (Tarmac) - Si-100 - Draw Down" u="1"/>
        <s v="Si - NORTH - UPS - UPS &amp; Battery Room Heating/Cooling Enhancement - Si-021 - Draw Down" u="1"/>
        <s v="Si - NORTH - Gate - Gate &amp; Furniture Replacement - Si-121 - Draw Down" u="1"/>
        <s v="Si - NORTH - Distrubution Board - Distribution &amp; Wiring System Replacement - Si-156 - Draw Down" u="1"/>
        <s v="Si - NORTH - Road - Site Road/Path Refurbishment (Unbound) - Si-103 - Draw Down" u="1"/>
        <s v="Si - NORTH - Miscellaneous - Electrical Assets Replacement - Si-158 - Draw Down" u="1"/>
        <s v="Si - NORTH - Lighting - Column Light, Luminaire &amp; Cable Replacement - Si-205 - Draw Down" u="1"/>
        <s v="Si - NORTH - Valve - Stem Seals Tightening/Adjustment - Si-149 - Draw Down" u="1"/>
        <s v="Si - NORTH - Pipework - A/G Pipework CM/4 Defect Resolution - Si-070 - Draw Down" u="1"/>
        <s v="Si - NORTH - Valve - Stabbings Removal &amp; Asset Refurbishment - Si-242 - Draw Down" u="1"/>
        <s v="Si - NORTH - Valve - Stabbings Removal &amp; Asset Refurbishment - Si-241 - Draw Down" u="1"/>
        <s v="Si - NORTH - Lighting - Hazardous Area Lighting Luminaire &amp; Cable Replacement - Si-206 - Draw Down" u="1"/>
        <s v="Si - NORTH - Electrical Assets - Electrical Asset Health Condition Survey - Si-166 - Draw Down" u="1"/>
        <s v="Si - NORTH - Valve - Sealant Port Adaptation  - Si-150 - Draw Down" u="1"/>
        <s v="Si - NORTH - Actuator - Actuator Replacement - Si-144 - Draw Down" u="1"/>
        <s v="Si-Easington-Valve-Installation of Terminal HIPPS -Si-275" u="1"/>
        <s v="Si-Teesside-Valve-Installation of Terminal HIPPS -Si-275" u="1"/>
        <s v="Si-LOCATION 09999 Terminal-Valve-Installation of Terminal HIPPS -Si-275" u="1"/>
        <s v="Si-Newton Noyles-Valve-Installation of Terminal HIPPS -Si-275" u="1"/>
        <s v="Si-Murrow-Valve-Installation of Terminal HIPPS -Si-275" u="1"/>
        <s v="Si-LOCATION 09999-Stanby Generators-Si-287" u="1"/>
        <s v="Si-LOCATION 09999-Valves- Locally Actuated Valve Replacement-Si-292- A1/2" u="1"/>
        <s v="Si-LOCATION 09999-Valves- Locally Actuated Valve Replacement-Si-292-A2/8C" u="1"/>
        <s v="Si-LOCATION 09999-Valves- Locally Actuated Valve Replacement-Si-292- F2-12" u="1"/>
        <s v="Si-LOCATION 09999-Valves- Locally Actuated Valve Replacement-Si-292- F4-18" u="1"/>
        <s v="Si-LOCATION 09999-Valves- Locally Actuated Valve Replacement-Si-292- F5-7" u="1"/>
        <s v="Si-LOCATION 09999-Valves- Locally Actuated Valve Replacement-Si-292- F5-18" u="1"/>
        <s v="Si-LOCATION 09999-Valves- Locally Actuated Valve Replacement-Si-292- F4-16" u="1"/>
        <s v="Si-LOCATION 09999-Valves- Locally Actuated Valve Replacement-Si-292- A2-1" u="1"/>
        <s v="Si-LOCATION 09999-Valves- Locally Actuated Valve Replacement-Si-292- A2-3" u="1"/>
        <s v="Si-LOCATION 09999-Valves- Locally Actuated Valve Replacement-Si-292- S4-2" u="1"/>
        <s v="Si-LOCATION 09999-Valves- Locally Actuated Valve Replacement-Si-292- A2/12A" u="1"/>
        <s v="Si-LOCATION 09999-Valves- Locally Actuated Valve Replacement-Si-292- S3/8A" u="1"/>
        <s v="Si-LOCATION 09999-Valves- Locally Actuated Valve Replacement-Si-292- S3/8B" u="1"/>
        <s v="Si-LOCATION 09999-Valves- Locally Actuated Valve Replacement-Si-292-S3/8C" u="1"/>
        <s v="Si-LOCATION 09999-Valves- Locally Actuated Valve Replacement-Si-292- F4-22B" u="1"/>
        <s v="Si-LOCATION 09999-Valves- Locally Actuated Valve Replacement-Si-292- F4-22C" u="1"/>
        <s v="Si-LOCATION 09999-Valves- Locally Actuated Valve Replacement-Si-292-FM4-3" u="1"/>
        <s v="Si-LOCATION 09999-Small Power-Si-285-Distribution board  CD" u="1"/>
        <s v="Si-LOCATION 09999-Small Power-Si-285-Distribution board E" u="1"/>
        <s v="Si-LOCATION 09999-Small Power-Si-285-Distribution board F" u="1"/>
        <s v="Si-LOCATION 09999-Small Power-Si-285-Distribution board M" u="1"/>
        <s v="Si-LOCATION 09999-Small Power-Si-285-T1 Extension" u="1"/>
        <s v="Si-LOCATION 09999-Small Power-Si-285-Distribution board Q1Q2" u="1"/>
        <s v="Si-LOCATION 09999-Small Power-Si-285-Distribution board S" u="1"/>
        <s v="Si-LOCATION 09999-Small Power-Si-285-Distribution board W" u="1"/>
        <s v="Si-LOCATION 09999-Small Power-Si-285-Main UPS Distribution board 1" u="1"/>
        <s v="Si-LOCATION 09999-Small Power-Si-285-UPS Distribution board 5" u="1"/>
        <s v="Si-LOCATION 09999-Small Power-Si-285-UPS Distribution board 8" u="1"/>
        <s v="Si- Draft Determination - Dummy - East- Si-144 - Actuators - Shafer Only - Draw Down" u="1"/>
        <s v="Si- Draft Determination - Dummy - North - Si-144 - Actuators - Shafer Only - Draw Down" u="1"/>
        <s v="Si- Draft Determination - Dummy - West - Si-256 - IJ - Draw Down" u="1"/>
        <s v="Si- Draft Determination - Dummy - North - Si-256 - IJ -Draw Down" u="1"/>
        <s v="Si- DD Dummy - REGION 004 and North - Si-051 - Replace Regulator Stream (Single) - Draw Down" u="1"/>
        <s v="Si-BRAINTREE-Valves-Valve Replacement -Si-146" u="1"/>
        <s v="Si - LOCKERLEY COMPRESSOR STATION - Station - Main LV Swtichboard SWBD-001 - Replacement of LV Switchgear Installation" u="1"/>
        <s v="Si - LOCKERLEY COMPRESSOR STATION - Station - All Building &amp; Kiosks - Building Major Refurb" u="1"/>
        <s v="Si-KIRRIEMUIR Compressor Station-Site-Address Subsidence-Si-074" u="1"/>
        <s v="Si-SHORNE-Site-Address Subsidence-Si-074" u="1"/>
        <s v="Si-WORMINGTON Compressor Station-Site-Address Subsidence-Si-074" u="1"/>
        <s v="Si-LOCATION 09999-Chambers-Replacement of Covers-Si-077-East - Draw Down" u="1"/>
        <s v="Si-YELVERTON-Access-Platforms and Stairs Relifing-Si-075" u="1"/>
        <s v="Si-GLENBERVIE-Drainage-Repair Damaged or Broken -Si-078" u="1"/>
        <s v="Si-KINGS LYNN POWER STATION-Drainage-Repair Damaged or Broken -Si-078" u="1"/>
        <s v="Si-NETHER KELLET Compressor Station-Drainage-Repair Damaged or Broken -Si-078" u="1"/>
        <s v="Si-THORNTON CURTIS B &amp; C-Drainage-Repair Damaged or Broken -Si-078" u="1"/>
        <s v="Si-BRANDON-Road (Tarmac)-Si-100" u="1"/>
        <s v="Si-CHURCHOVER Compressor Station-Road (Tarmac)-Si-100" u="1"/>
        <s v="Si-CHURCHOVER MULTIJUNCTION-Road (Tarmac)-Si-100" u="1"/>
        <s v="Si-ELVEDEN-Road (Tarmac)-Si-100" u="1"/>
        <s v="Si-HADDINGTON-Road (Tarmac)-Si-100" u="1"/>
        <s v="Si-LOCKERLEY Compressor Station-Road (Tarmac)-Si-100" u="1"/>
        <s v="Si-TREADDOW-Road (Tarmac)-Si-100" u="1"/>
        <s v="Si-WOLVISTON-Road (Tarmac)-Si-100" u="1"/>
        <s v="Si-GRAYRIGG-Road (Concrete)-Si-101" u="1"/>
        <s v="Si-LONG CRENDON-Road (Concrete)-Si-101" u="1"/>
        <s v="Si-PITSCOTTIE-Road (Concrete)-Si-101" u="1"/>
        <s v="Si-WISBECH Compressor Station-Road (Concrete)-Si-101" u="1"/>
        <s v="Si-WORMINGTON Compressor Station-Road (Concrete)-Si-101" u="1"/>
        <s v="Si-ABERDEEN Compressor Station-Road (Tarmac)-Si-103" u="1"/>
        <s v="Si-THEDDLETHORPE TERMINAL-Road (Tarmac)-Si-103" u="1"/>
        <s v="Si-CAMBRIDGE Compressor Station-Road (Concrete)-Si-104" u="1"/>
        <s v="Si-LOCATION 09999 TERMINAL-Steel Tanks-Repair-Si-114" u="1"/>
        <s v="Si-CARNFORTH Compressor Station-Steel Tanks-Repair-Si-114" u="1"/>
        <s v="Si-LOCKERLEY Compressor Station-Steel Tanks-Repair-Si-114" u="1"/>
        <s v="Si-WISBECH Compressor Station-Bunds-Repair-Si-116" u="1"/>
        <s v="Si-AYLESBURY Compressor Station-Building-Major Refub-Si-118" u="1"/>
        <s v="Si-CAMBRIDGE Compressor Station-Building-Major Refub-Si-118" u="1"/>
        <s v="Si-CENTRAX OT-Building-Major Refub-Si-118" u="1"/>
        <s v="Si-CHURCHOVER COMP TEE-Building-Major Refub-Si-118" u="1"/>
        <s v="Si-NETHER KELLET Compressor Station-Building-Major Refub-Si-118" u="1"/>
        <s v="Si-EAST HECKINGTON-Gate-Replace Gate-Si-121" u="1"/>
        <s v="Si-GARWAY-Gate-Replace Gate-Si-121" u="1"/>
        <s v="Si-HORNDON (BARKING)-Gate-Replace Gate-Si-121" u="1"/>
        <s v="Si-MONIFIETH-Gate-Replace Gate-Si-121" u="1"/>
        <s v="Si-MUIRSKIE-Gate-Replace Gate-Si-121" u="1"/>
        <s v="Si-STALLINGBOROUGH-Gate-Replace Gate-Si-121" u="1"/>
        <s v="Si-STAPLEFORD TAWNEY-Gate-Replace Gate-Si-121" u="1"/>
        <s v="Si-HATTON Compressor Station-Install Ground Guards-Si-129" u="1"/>
        <s v="Si-CHILD OKEFORD-Fence-Replace fencing-Si-130" u="1"/>
        <s v="Si-GLENBERVIE-Fence-Replace fencing-Si-130" u="1"/>
        <s v="Si-HAUNTON-Fence-Replace fencing-Si-130" u="1"/>
        <s v="Si-HERBRANDSTON-Fence-Replace fencing-Si-130" u="1"/>
        <s v="Si-MUGGLESWICK-Fence-Replace fencing-Si-130" u="1"/>
        <s v="Si-QUERNMORE-Fence-Replace fencing-Si-130" u="1"/>
        <s v="Si-RICKARTON-Fence-Replace fencing-Si-130" u="1"/>
        <s v="Si-STAPLEFORD TAWNEY-Fence-Replace fencing-Si-130" u="1"/>
        <s v="Si-WOLVISTON-Fence-Replace fencing-Si-130" u="1"/>
        <s v="Si-CILFREW-Fence-Repair Fencing-Si-131" u="1"/>
        <s v="Si-FERNY KNOLL-Fence-Repair Fencing-Si-131" u="1"/>
        <s v="Si-GULLANE-Fence-Repair Fencing-Si-131" u="1"/>
        <s v="Si-LANCHESTER-Fence-Repair Fencing-Si-131" u="1"/>
        <s v="Si-SIMPRIM-Fence-Repair Fencing-Si-131" u="1"/>
        <s v="Si-SUSWORTH TRENT WEST-Fence-Repair Fencing-Si-131" u="1"/>
        <s v="Si-WHITBECK-Fence-Repair Fencing-Si-131" u="1"/>
        <s v="Si-WHITTLESEY-Fence-Repair Fencing-Si-131" u="1"/>
        <s v="Si-LOCATION 09999-Regulator-Replace Regulator-Si-051-East - Draw Down" u="1"/>
        <s v="Si-LOCATION 09999-Valve-Block valve replacement-Si-257-East - Draw Down" u="1"/>
        <s v="Si-LOCATION 09999-Valve-Block valve replacement-Si-257-West - Draw Down" u="1"/>
        <s v="Si-Charlestown-Block Valve replacement" u="1"/>
        <s v="Si-Fauldhouse-Block Valve replacement" u="1"/>
        <s v="Si-Hornby-Block Valve replacement" u="1"/>
        <s v="Si-Suffield-Block Valve replacement" u="1"/>
        <s v="Si-Cambridge Compressor Station-Valves-Actuator Replacement-NT7235STSP-MV723502A- SHAFER HSE Action" u="1"/>
        <s v="Si-Cambridge Compressor Station-Valves-Actuator Replacement-NT7235STDP-MV1095A- SHAFER HSE Action" u="1"/>
        <s v="Si-Cambridge Compressor Station-Valves-Actuator Replacement-NT7235STDP-MV1007A- SHAFER HSE Action" u="1"/>
        <s v="Si-Cambridge Compressor Station-Valves-Actuator Replacement-NT7235STSA-V1102- SHAFER HSE Action" u="1"/>
        <s v="Si-Cambridge Compressor Station-Valves-Actuator Replacement-NT7235STSB-V1202- SHAFER HSE Action" u="1"/>
        <s v="Si-Cambridge Compressor Station-Valves-Actuator Replacement-NT7235UASP-MV2101A- SHAFER HSE Action" u="1"/>
        <s v="Si-Cambridge Compressor Station-Valves-Actuator Replacement-NT7235UASP-MV2108A- SHAFER HSE Action" u="1"/>
        <s v="Si-Wisbech Compressor Station-Valves-Actuator Replacement-NT7245UASP-A724512- SHAFER HSE Action" u="1"/>
        <s v="Si-Wisbech Compressor Station-Valves-Actuator Replacement-NT7245STDP-724503A-SHAFER HSE Action" u="1"/>
        <s v="Si-Diss Compressor Station-Valves-Actuator Replacement-NT7228STSA-MV1102AC- SHAFER HSE Action" u="1"/>
        <s v="Si-Diss Compressor Station-Valves-Actuator Replacement-NT7228STSB-MV1201AC- SHAFER HSE Action" u="1"/>
        <s v="Si-Diss Compressor Station-Valves-Actuator Replacement-NT7228STSP-722802A- SHAFER HSE Action" u="1"/>
        <s v="Si-Diss Compressor Station-Valves-Actuator Replacement-NT7228UASP-MV2111A- SHAFER HSE Action" u="1"/>
        <s v="Si-Diss Compressor Station-Valves-Actuator Replacement-NT7228UASP-MV8004A- SHAFER HSE Action" u="1"/>
        <s v="Si-Diss Compressor Station-Valves-Actuator Replacement-NT7228UASP-MV2102A- SHAFER HSE Action" u="1"/>
        <s v="Si-Diss Compressor Station-Valves-Actuator Replacement-NT7228UBFU-MV2215A- SHAFER HSE Action" u="1"/>
        <s v="Si-Diss Compressor Station-Valves-Actuator Replacement-NT7228UBSP-MV2202A- SHAFER HSE Action" u="1"/>
        <s v="Si-Diss Compressor Station-Valves-Actuator Replacement-NT7228UBSP-MV2211A- SHAFER HSE Action" u="1"/>
        <s v="Si-Diss Compressor Station-Valves-Actuator Replacement-NT7228UBSP-MV8006A- SHAFER HSE Action" u="1"/>
        <s v="Si-Diss Compressor Station-Valves-Actuator Replacement-NT7228UCFU-MV2324A- SHAFER HSE Action" u="1"/>
        <s v="Si-Diss Compressor Station-Valves-Actuator Replacement-NT7228UCDP-MV2303A- SHAFER HSE Action" u="1"/>
        <s v="Si-Diss Compressor Tee-Valves-Actuator Replacement-NT1520ROV1-152001ACT- SHAFER HSE Action" u="1"/>
        <s v="Si-WEST WINCH-Valves-Actuator Replacement-NT1224ROV1-122403ACT- SHAFER HSE Action" u="1"/>
        <s v="Si-MICKLE TRAFFORD-Valves-Actuator Replacement-NT4113ROV1-411302ACT- SHAFER HSE Action" u="1"/>
        <s v="Si-Kirriemuir-Valves-Actuator Replacement-NT6033ROV1-603301ACT- SHAFER HSE Action" u="1"/>
        <s v="Si-Kirriemuir-Valves-Actuator Replacement-NT6033ROV1-603312ACT- SHAFER HSE Action" u="1"/>
        <s v="Si-Kirriemuir-Valves-Actuator Replacement-NT6033ROV1-603322ACT- SHAFER HSE Action" u="1"/>
        <s v="Si-Kirriemuir-Valves-Actuator Replacement-NT6033ROV1-603373ACT- SHAFER HSE Action" u="1"/>
        <s v="Si-Wetheral-Valves-Actuator Replacement-NT4331ROV1-433101ACT- SHAFER HSE Action" u="1"/>
        <s v="Si-Wetheral-Valves-Actuator Replacement-NT4331ROV1-433102ACT- SHAFER HSE Action" u="1"/>
        <s v="Si-Wetheral-Valves-Actuator Replacement-NT4331ROV1-433103ACT- SHAFER HSE Action" u="1"/>
        <s v="Si - LOCATION 09999 TERMINAL - Gas Quality Monitoring Buildings" u="1"/>
        <s v="Si - CORBRIDGE - Pipework - A/G Pipework - CM/4 Defect Resolution" u="1"/>
        <s v="Si-STOWMARKET-Stopple &amp; Bypass" u="1"/>
        <s v="Si-NETHER HOWCLEUGH-Stopple &amp; Bypass" u="1"/>
        <s v="Si-NORTH-Standby power system  AC UPS -Replace AC UPS (Large) - Compressor St - Draw Down" u="1"/>
        <s v="Si -EAST - Gas Quallity EGMP-2  AC UPS - Replace AC UPS (Large) - Draw Down" u="1"/>
        <s v="Si -EAST - Gas Quality - EGMP and FWACV AC UPS - Replace AC UPS (Small) - Draw Down" u="1"/>
        <s v="Si - WEST - Telemetry  DC UPS - Replace DC UPS (Small) - AGIs - Draw Down" u="1"/>
        <s v="Si - NORTH - Power Transformers - Converter Transformer Coating Replacement - Draw Down" u="1"/>
        <s v="Si - ELTON - Pits - Break Out Of Pit Infrastructure - Pit" u="1"/>
        <s v="Si - STOWMARKET - Cathodic Protection Equipment - Insulation Joint Intervention - Replace IJ" u="1"/>
        <s v="Si - HADDINGTON - Cathodic Protection Equipment - Insulation Joint Intervention - Replace IJ" u="1"/>
        <s v="Si - GESTINGTHORPE - Roads - Repair Access Road/Path (Tarmac)" u="1"/>
        <s v="Si - LAVENHAM - Roads - Repair Access Road/Path (Tarmac)" u="1"/>
        <s v="Si - CHURCHOVER MULTIJUNCTION - Cathodic Protection Equipment - Insulation Joint Intervention - Replace IJ" u="1"/>
        <s v="Si - KINGS LYNN COMPRESSOR STATION - Temperature Risk - Above Ground Pipework Coatings - Studies" u="1"/>
        <s v="Si - LOCKERLEY COMPRESSOR STATION - Temperature Risk - Batteries - Studies and costing for compressor stations" u="1"/>
        <s v="Si - KINGS LYNN POWER STATION - Temperature Risk - Batteries - Studies and costing for compressor stations" u="1"/>
        <s v="Si - CARNFORTH COMPRESSOR STATION - Temperature Risk - Batteries - Studies and costing for compressor stations" u="1"/>
        <s v="Si - CAMBRIDGE COMPRESSOR STATION - Temperature Risk - Batteries - Studies and costing for compressor stations" u="1"/>
        <s v="Si - WATERMEETINGS - Pipework - A/G Pipework - CM/4 Defect Resolution" u="1"/>
        <s v="Si - BROCKLESBY - Pipework - A/G Pipework - CM/4 Defect Resolution" u="1"/>
        <s v="Si - AUCHTERMUCHTY - Pipework - A/G Pipework - CM/4 Defect Resolution" u="1"/>
        <s v="Si - DRUM - Pipework - A/G Pipework - CM/4 Defect Resolution" u="1"/>
        <s v="Si - EASTON GREY - Pipework - A/G Pipework - CM/4 Defect Resolution" u="1"/>
        <s v="Si - UFFORD - Chambers - Replacement of Chamber Cover/Repair of Chambers side wall" u="1"/>
        <s v="Si - GESTINGTHORPE - Fence - Replace fencing - Si-130" u="1"/>
        <s v="Si - PENICUIK - Actuator Replacement - NT4943VNC1-07GBX" u="1"/>
        <s v="Si - ALREWAS MULTIJUNCTION - Sealant Port Adaption - NT8157ROV1-815772VLV" u="1"/>
        <s v="Si - ILCHESTER - Sealant Port Adaption - NT2127VNC1-703591VLV" u="1"/>
        <s v="Si - PENICUIK - Sealant Port Adaption - NT4943VNC1-494301VLV" u="1"/>
        <s v="Si - AUCHTERMUCHTY - Vent And Sealant Line Replacement - NT6235VCR1-01VCR" u="1"/>
        <s v="Si - ALREWAS MULTIJUNCTION - Alrewas Redundant Valve Decommissioning" u="1"/>
        <s v="Si - HOLMES CHAPEL - Stopple &amp; Bypass" u="1"/>
        <s v="Si - PUCKLECHURCH - Cathodic Protection Equipment - Insulation Joint Intervention - Replace IJ" u="1"/>
        <s v="Si - ELTON - Block valve modification after pits have been broken out" u="1"/>
        <s v="Si - PUCKLECHURCH - Stopple &amp; Bypass" u="1"/>
        <s v="Si - NORTH - Valve - Install Bypass - Draw Down" u="1"/>
        <s v="Si - CHURCHOVER MULTIJUNCTION - Access - Platforms and Stairs Relifing - Si-075" u="1"/>
        <s v="Si - LONGTOWN - Valve Replacement - NT4329VCR1-432910VLV" u="1"/>
        <s v="Si - LONGTOWN - Valve Replacement - NT4329VCR1-432911VLV" u="1"/>
        <s v="Si - LONGTOWN - Valve Replacement - NT4329VNC1-432912VLV" u="1"/>
        <s v="Si - LONGTOWN - Sealant Port Adaption - NT4329VNC1-432925VLV" u="1"/>
        <s v="Si - ROUGHAM - Block valve replacement" u="1"/>
        <s v="Si - GESTINGTHORPE - Pipework - A/G Pipework - CM/4 Defect Resolution" u="1"/>
        <s v="Si - LAVENHAM - Pipework - A/G Pipework - CM/4 Defect Resolution" u="1"/>
        <s v="Si - SUFFIELD - Pipework - A/G Pipework - CM/4 Defect Resolution" u="1"/>
        <s v="Si - THURNING - Pipework - A/G Pipework - CM/4 Defect Resolution" u="1"/>
        <s v="Si-BILLERICAY-Pit Wall-Pit Wall Defect-Si-185" u="1"/>
        <s v="Si - GESTINGTHORPE - Pits - Break Out Of Pit Infrastructure - Pit" u="1"/>
        <s v="Si - BILLERICAY - Pits - Break Out Of Pit Infrastructure - Pit" u="1"/>
        <s v="Si - MICHELMERSH - Valves - Actuator Replacement - NT2111VNC1-211113ACT" u="1"/>
        <s v="Si - BARRINGTON - Pipework - A/G Pipework - CM/4 Defect Resolution" u="1"/>
        <s v="Si - BARRINGTON - CP Test Post-Repair CP Test Posts - P-034" u="1"/>
        <s v="Si - LONGFORMACUS - Valves - Vent &amp; sealant line replacement  - NT6349VCR1-01VCR" u="1"/>
        <s v="Si - CROOKHAM - Actuator Replacement - NT6355VCR1-635501ACT" u="1"/>
        <s v="Si - WEST - Replace DC UPS (Large) - Compressor Station - Si-002 - Draw Down" u="1"/>
        <s v="Si - NORTH - Gas Quallity EGMP-2  AC UPS - Replace AC UPS (Large) - Draw Down" u="1"/>
        <s v="Si - NORTH - Gas Quality - EGMP and FWACV AC UPS - Replace AC UPS (Small) - Draw Down" u="1"/>
        <s v="Si- NORTH - Standby Generator-Control System Replacement - Draw Down" u="1"/>
        <s v="Si - North - Chambers - Replacement of Covers - Si-077 - Draw Down" u="1"/>
        <s v="Si - West - Chambers - Replacement of Covers - Si-077 - Draw Down" u="1"/>
        <s v="Si - NORTH - Switchgear - Replacement of electronic protection relays - Draw Down" u="1"/>
        <s v="Si - WEST - Switchgear - Replacement of electronic protection relays - Draw Down" u="1"/>
        <s v="Si - WEST - Valves - Valve Replacement -Si-146 - Draw Down" u="1"/>
        <s v="Si - WEST - Power Transformers - Converter Transformer Coating Replacement - Draw Down" u="1"/>
        <s v="Si - TREALES - Pipe Supports - Replace Steel Pipe Supports - Si-183" u="1"/>
        <s v="Si - HADDINGTON - Ducting - Site Ducting Relifing - Si-196" u="1"/>
        <s v="Si - DIDCOT POWER STATION - Lighting - Hazardous Area Lighting Luminaire &amp; Cable Replacement" u="1"/>
        <s v="Si - CHURCHOVER COMP TEE - Building - Non-Hazardous Area Lighting Luminaire &amp; Cable Replacement" u="1"/>
        <s v="Si - HELSBY - Building - Non-Hazardous Area Lighting Luminaire &amp; Cable Replacement" u="1"/>
        <s v="Si - WEST - CCA - Temperature Risk - Compressors - Studies and costing for compressor stations and sites. - Draw Down" u="1"/>
        <s v="Si - EAST - Replace DC UPS (Small) - AGIs - Draw Down" u="1"/>
        <s v="Si - WEST - Replace DC UPS (Small) - AGIs - Draw Down" u="1"/>
        <s v="Si - NORTH - Replace Piller Rotary UPS (Compressors) - Draw Down" u="1"/>
        <s v="Si - NORTH - New load bank installation including switchgear modification - Draw Down" u="1"/>
        <s v="Si - WEST - Link box replacement - Draw Down" u="1"/>
        <s v="Si - EAST - Standby Generator - Link Box Replacement - Draw Down" u="1"/>
        <s v="Si - NORTH - Standby Generator - Link Box Replacement - Draw Down" u="1"/>
        <s v="Si - EAST - Step Down Transformer Replacement 11/33Kv - Draw Down" u="1"/>
        <s v="Si - NORTH - Step Down Transformer Replacement 11/33Kv - Draw Down" u="1"/>
        <s v="Si - WEST - Install DG Analyser - Draw Down" u="1"/>
        <s v="Si - WEST - Refurbishment of Earthing &amp; Lightning Protection Systems (Large Site) - Draw Down" u="1"/>
        <s v="Si - NORTH - Refurbishment of Earthing &amp; Lightning Protection Systems (Small Site) - Draw Down" u="1"/>
        <s v="Si - WEST - Refurbishment of Earthing &amp; Lightning Protection Systems (Small Site) - Draw Down" u="1"/>
        <s v="Si - EAST - Fuel Gas/Domestic Gas Supply Pressure Regulator Skid Replacement - Draw Down" u="1"/>
        <s v="Si - WEST - Replacement of Multistage Pressure Reduction Skid - Draw Down" u="1"/>
        <s v="Si - NORTH - Replace Modular Boiler Package Including Building - Draw Down" u="1"/>
        <s v="Si - WEST - Replace Modular Boiler Package Including Building - Draw Down" u="1"/>
        <s v="Si - EAST - GRAID Survey - Draw Down" u="1"/>
        <s v="Si - WEST - GRAID Survey - Draw Down" u="1"/>
        <s v="Si - NORTH - Replace Sewage Treatment System - Draw Down" u="1"/>
        <s v="Si - WEST - Replace Sewage Treatment System - Draw Down" u="1"/>
        <s v="Si - NORTH - Remove the valve and flange the connection (assuming the valve is flanged) - Draw Down" u="1"/>
        <s v="Si - WEST - Remove the valve and flange the connection (assuming the valve is flanged) - Draw Down" u="1"/>
        <s v="Si - NORTH - Install a new standard valve bypass arrangement - Draw Down" u="1"/>
        <s v="Si - NORTH - Replace Fixed Condensate Tank with Mobile Condensate Tank - Draw Down" u="1"/>
        <s v="Si - NORTH - Step Down Transformer Coating Replacement - Draw Down" u="1"/>
        <s v="Si - EAST - Integral switchgear replacement - Draw Down" u="1"/>
        <s v="Si - WEST - Integral switchgear replacement - Draw Down" u="1"/>
        <s v="Si - NORTH - Repair steel tanks - Draw Down" u="1"/>
        <s v="Si - WEST - Replacement of motor managers on Motor Control Centre (MCC) switchgear - Draw Down" u="1"/>
        <s v="Si - WEST - Replace Regulator Stream PCV/FCV (Single). - Draw Down" u="1"/>
        <s v="Si - EAST - Stem Seal Replacement - Draw Down" u="1"/>
        <s v="Si - NORTH - Stem Seal Replacement - Draw Down" u="1"/>
        <s v="Si - WEST - Filter Pssr Inspection And Rectification - Draw Down" u="1"/>
        <s v="Si - WEST - Compressor Distribution Individual Board replacement - Draw Down" u="1"/>
        <s v="Si - NORTH - Replace valve with Double block and bleed solution - Draw Down" u="1"/>
        <s v="Si - EAST - Heat Exchanger PSSR Bursting Disc Replacement - Draw Down" u="1"/>
        <s v="Si - NORTH - Install Transec Units - Draw Down" u="1"/>
        <s v="Si - WEST - Install Transec Units - Draw Down" u="1"/>
        <s v="Si - NORTH - Replacement of Uninterruptible Motor Drives (UMD) - Draw Down" u="1"/>
        <s v="Si - WEST - CP-Sites-Survey - Draw Down" u="1"/>
        <s v="Si - NORTH - CP-Sites-System Replacement - Compressors - Draw Down" u="1"/>
        <s v="Si - NORTH - CP-Sites-System Replacement - AGIs - Draw Down" u="1"/>
        <s v="Si - NORTH - CP-Sites-Test Post Intervention - Draw Down" u="1"/>
        <s v="Si - EAST - CP-Sites-Install Remote Monitor - Draw Down" u="1"/>
        <s v="Si - WEST - CCA - Flood Risk - Temporary flood interventions for identified impacted sites. - Draw Down" u="1"/>
        <s v="Si - NORTH - CCA - Flood Risk - Studies to develop permanent mitigation measures - Draw Down" u="1"/>
        <s v="Si - WEST - CCA - Flood Risk - Studies to develop permanent mitigation measures - Draw Down" u="1"/>
        <s v="Si - NORTH - Overpressure protection study and repalcement of relief valve - Draw Down" u="1"/>
        <s v="Si - WEST - Overpressure protection study and repalcement of relief valve - Draw Down" u="1"/>
        <s v="Si - EAST - CCA - Temperature Risk - Batteries - Studies to develop permanent mitigation measures - Draw Down" u="1"/>
        <s v="Si - NORTH - CCA - Temperature Risk - Transformers - Studies to develop permanent mitigation measures - Draw Down" u="1"/>
        <s v="Si - POLWARTH - Valves - Actuator Replacement - NT6351VCR1-01GHY" u="1"/>
        <s v="Si - POLWARTH - Valves - Actuator Replacement -" u="1"/>
        <s v="Si - AUCHTERMUCHTY - Valves - Tighten/ Adjust Stem Seals -NT6235VCR1-623501VLV" u="1"/>
        <s v="Si - CHURCHOVER MULTIJUNCTION - Vent And Sealant Line Replacement - NT8147VNC1-814721VLV" u="1"/>
        <s v="Si - HOLMES CHAPEL - Block valve replacement" u="1"/>
        <s v="Si - DIDCOT POWER STATION - Pipework - A/G Pipework - CM/4 Defect Resolution" u="1"/>
        <s v="Si - ILCHESTER - Pipework - A/G Pipework - CM/4 Defect Resolution" u="1"/>
        <s v="Si - Metheringham - Pipework - A/G Pipework - CM/4 Defect Resolution" u="1"/>
        <s v="Si - PETTINAIN - Road (Concrete) - New Path - Si-108" u="1"/>
        <s v="Si - CAMBRIDGE COMPRESSOR STATION - Filters - NT7235UCPP-S301A - FILTER PSSR ES/94/15.2 - MAJOR" u="1"/>
        <s v="Si - CAMBRIDGE COMPRESSOR STATION - Filters - NT7235UCPP-S301B - FILTER PSSR ES/94/15.2 - MAJOR" u="1"/>
        <s v="Si - DIDCOT POWER STATION - Pipe Supports - Replace Steel Pipe Supports - Si-183" u="1"/>
        <s v="Si - BISHOP AUCKLAND COMPRESSOR STATION - Replace Luminaire and internal column cable RIIO3 2" u="1"/>
        <s v="Si - BISHOP AUCKLAND COMPRESSOR STATION - Replace Luminaire and internal column cable RIIO3 4" u="1"/>
        <s v="Si - KIRRIEMUIR COMPRESSOR STATION - Replace Luminaire and internal column cable RIIO3 1" u="1"/>
        <s v="Si - KIRRIEMUIR COMPRESSOR STATION - Replace Luminaire and internal column cable RIIO3 6" u="1"/>
        <s v="Si - KIRRIEMUIR COMPRESSOR STATION - Replace Luminaire and internal column cable RIIO3 9" u="1"/>
        <s v="Si - BISHOP AUCKLAND COMPRESSOR STATION - Building - Non-Hazardous Area Lighting Luminaire &amp; Cable Replacement" u="1"/>
        <s v="T2_NARC_2023_Major Preheat Phase 2" u="1"/>
        <s v="T2_Pressure Reduction and Flow Control_2021-25" u="1"/>
        <s v="T2_ISS_2022_Asset Refresh works" u="1"/>
        <s v="T2_Customer_2021_Grosvenor MOC (Exit and bio-methane Entry)" u="1"/>
        <s v="T2_Construction AGI Replacement 2024" u="1"/>
        <s v="T2_NARC_2025" u="1"/>
        <s v="T2_Compressor Overhauls_ 2023_24_25" u="1"/>
        <s v="T2_Cabs_24-25" u="1"/>
        <s v="T2_DECOM 2024/25 to Fdr 1 &amp; 9 Decom." u="1"/>
        <s v="PAC1056118 T2_Peterborough Decom" u="1"/>
        <s v="T2_Pipelines_Pipeline Impact Protection" u="1"/>
        <s v="T2_Pipelines_ILI Runs 2023-25" u="1"/>
        <s v="T2_Pipelines_CP Interventions Tranche 2" u="1"/>
        <s v="T3_Gas Quality_Year 1&amp;2_West" u="1"/>
        <s v="T2_Gas Quality &amp; Metering Years 4-5" u="1"/>
        <s v="T2_Control Systems_2022_Telemetry Years 4-5" u="1"/>
        <s v="Diss Control Systems Replacement _T2_Cyber_2023" u="1"/>
        <s v="Alrewas Control System Replacement_T2_Cyber_2024" u="1"/>
        <s v="Hatton Control System Replacement_T2_Control Systems_2024" u="1"/>
        <s v="T2_Control Systems_2022_Open SCADA" u="1"/>
        <s v="T3_AH_National Electrical Campaign REGION 004 &amp; North" u="1"/>
        <s v="T2_Pipelines_CP Remote Monitoring" u="1"/>
        <s v="T2_Innovations_2021_GRAID Connection Point Construction" u="1"/>
        <s v="East Coast Hydrogen project" u="1"/>
        <s v="T2_ISS_2021_Investment Programme Lot 2" u="1"/>
        <s v="T2_Structural Integrity_2021_Assets, Survey and Monitoring" u="1"/>
        <s v="T2_Customer_2021_Keadby 3 Customer Connection" u="1"/>
        <s v="T2_2022_LOCATION 9001_Plant 1 Aftercooler" u="1"/>
        <s v="T2_2023_Customer_Velocys Altalto New MOC" u="1"/>
        <s v="T2_Control System_2022_Telemetry 2022" u="1"/>
        <s v="T2_Pipelines_PSSR Inspections 2023-25" u="1"/>
        <s v="Customer Decom 23_T2_Decommissioning_2023" u="1"/>
        <s v="Preheat and Lube Oil Systems_T2_Compressor_2024-25" u="1"/>
        <s v="Felindre Control Systems Replacement_T2_Cyber_2023" u="1"/>
        <s v="Wormington Control Systems Upgrade _T2_Cyber_2023" u="1"/>
        <s v="Avonbridge Control System Replacement _T2_Cyber_2023" u="1"/>
        <s v="Bishop Auckland Control Systems Replacement _T2_Cyber_2023" u="1"/>
        <s v="Physical Security_T2_Cyber_2024" u="1"/>
        <s v="Bathgate Decommissioning_T2_Decommissioning_2023" u="1"/>
        <s v="Warrington Compressor  Decommissioning_T2_Decommissioning_2024" u="1"/>
        <s v="Teesside Phillips Disconnection_T2_Customer_2022" u="1"/>
        <s v="Collmart customer connection_T2_Customer" u="1"/>
        <s v="Glentham Green Energy Entry" u="1"/>
        <s v="H2H Saltend Connection_T2_Customer_2025" u="1"/>
        <s v="Shotton Mill customer connection_T2_Customer_2023" u="1"/>
        <s v="Methane Detection &amp; Quantification_T2_Emmissions_2022" u="1"/>
        <s v="LOCATION 9001 Cab 2B_T2_LOCATION 9001_2023" u="1"/>
        <s v="Asset Refresh LOCATION 09999 and LOCATION 9001_T2_ISS_2023" u="1"/>
        <s v="T2_Structural Integrity_2022_Civil T2 Interventions" u="1"/>
        <s v="T2_Methane Emissions - Compressor Machinery Train" u="1"/>
        <s v="Shellstar CF Fertiliser Disconnection_T2_Customer_2023" u="1"/>
        <s v="LOCATION 9001 Decommissioning 24 - Operations Delivery_T2_Decommissioning_2024" u="1"/>
        <s v="T2__RIIO-2 Non-Return Valves (NRVs) Campaign" u="1"/>
        <s v="T2_NARC 2023 NGS" u="1"/>
        <s v="Centrica Rough Storage - Phase 2_T2_Customer_2023" u="1"/>
        <s v="T3_Compressor_AH_Cabs_S&amp;N" u="1"/>
        <s v="T2_RIIO-2 electrical investments awaiting F4 build funds" u="1"/>
        <s v="T3_LOCATION 9001_Valves Lot 1" u="1"/>
        <s v="Bluefield Connection Exit (Sandbach)_T2_Customer-2023" u="1"/>
        <s v="A428 Black Cat Roundabout Upgrade_T2_Customer_2023" u="1"/>
        <s v="VPI Immingham Modification_T2_Customer_2023" u="1"/>
        <s v="Brigg Baloo 2 modification reapplication_T2_Customer_2024" u="1"/>
        <s v="T2_LOCATION 09999 AH - Firewater ring main" u="1"/>
        <s v="Brigg Hydrogen Trial _T2_Customer_2023" u="1"/>
        <s v="LOCATION 9001 Cathodic Protection System Replacement_T2_LOCATION 9001_2022" u="1"/>
        <s v="RWE King's Lynn PS MOC_T2_Customer_2023" u="1"/>
        <s v="T2_LOCATION 09999 AH - CP system" u="1"/>
        <s v="T2_NTS Primary Protection Device Bypass Systems Campaign" u="1"/>
        <s v="T2_PMC AGI Refurbishment 2024" u="1"/>
        <s v="Peterborough Eye Green study_T2_Customer_2024" u="1"/>
        <s v="T2_ Ops RIIO-2 AGI lite refurb &amp; actuators campaign 2023" u="1"/>
        <s v="T2_LOCATION 9001 Units 1C, 2C, &amp; 2D decommissioning" u="1"/>
        <s v="T2_LOCATION 9001 HV Transformers Replacement" u="1"/>
        <s v="Project Union Feasibility" u="1"/>
        <s v="T2_Brigg power station hydrogen pilot" u="1"/>
        <s v="T2_Thurrock Exit Connection" u="1"/>
        <s v="T2_Eggborough Power Limited MOC" u="1"/>
        <s v="T2_Condensate tank decommissioning" u="1"/>
        <s v="T2_Burton Point Optioneering" u="1"/>
        <s v="T2_LOCATION 09999 Decommissioning - ENI redundant assets" u="1"/>
        <s v="T2_LOCATION 09999 AH - Structural Integrity" u="1"/>
        <s v="T2_Wormington Aftercoolers Decom NGS" u="1"/>
        <s v="T2_Lighthouse Green Fuels (Alfanar)" u="1"/>
        <s v="T2_Protos Development - Helsby" u="1"/>
        <s v="Slapton Diversion" u="1"/>
        <s v="RIIO3 Surveys and Feeds Development" u="1"/>
        <s v="T2_Acorn Bioenergy MOC" u="1"/>
        <s v="T2_Aldbrough Hydrogen Pathfinder Minor Mods" u="1"/>
        <s v="T2_Deeside AGI site decommissioning" u="1"/>
        <s v="T2_Burton Point Flow Cessation Project" u="1"/>
        <s v="T3_Cyber Control_Nether Kellet Compressor" u="1"/>
        <s v="T3_Cyber Control_Kings Lynn Compressor" u="1"/>
        <s v="T3_Cyber Control_Wooler Compressor" u="1"/>
        <s v="T3_Control System Carnforth Compressor (C , Station)" u="1"/>
        <s v="T3_Control System Churchover Compressor (D, E, Station)" u="1"/>
        <s v="T2_Ryehouse Power Station Pre-Connection Study" u="1"/>
        <s v="T2_Oulton Airfield Bio-Methane Entry Connection" u="1"/>
        <s v="T2_Easington Dimlington Valve and Easington Daniels 500 Chromatograph" u="1"/>
        <s v="T2_Peterstow Redundant Asset Decommissioning" u="1"/>
        <s v="T2_LOCATION 09999 critical valve replacement" u="1"/>
        <s v="T2_LOCATION 09999 low voltage E, C &amp; I" u="1"/>
        <s v="T2_AGI Refurbishment 2025 (NGS)" u="1"/>
        <s v="T2_Forsa Shap Exit Connection" u="1"/>
        <s v="SCO2T Connect Backbone" u="1"/>
        <s v="T2_Huntingdon Redundant Assets Decommissioning" u="1"/>
        <s v="T2_Eakring AGI decommissioning" u="1"/>
        <s v="T2_Hynet HPP 1&amp;2 MOC Project" u="1"/>
        <s v="T2_PSUP Re-opener" u="1"/>
        <s v="T2_Net Zero Teesside Power Limited - Exit Connection" u="1"/>
        <s v="T2_AGI24 Construction Opportunities" u="1"/>
        <s v="T2_St. Fergus Asbestos Remediation" u="1"/>
        <s v="T2_St. Fergus Priority Valves &amp; Pit Wall Transitions" u="1"/>
        <s v="T2_St. Fergus Category 4, 5 &amp; 6 CM/4 Defects and Area 3&amp;6 Painting" u="1"/>
        <s v="T2_Thornton Curtis Uniper modification" u="1"/>
        <s v="T2_Manby Biomethane Connection" u="1"/>
        <s v="T2_LOCATION 9001 Distribution Boards Replacement" u="1"/>
        <s v="T2_MERC_2024_RIIO2 Recompression Units" u="1"/>
        <s v="Single Point of Failure" u="1"/>
        <s v="T2_Kings Lynn MCPD Re-Wheel" u="1"/>
        <s v="T2_Hinkley Bio - Exit Connection" u="1"/>
        <s v="T2_Triton Power / Deeside Power Station" u="1"/>
        <s v="T2_Thriplow AD Entry/Exit Connection" u="1"/>
        <s v="Customer Connections Annual F2 - FY27" u="1"/>
        <s v="T2_Wragby AD Entry/Exit Connection" u="1"/>
        <s v="T3_LOCATION 9001 Plant 2 Aftercoolers Replacement" u="1"/>
        <s v="T2_MERC_2024_PIG Trap Recompression" u="1"/>
        <s v="T3_Sites_AGI NGS_FY27 East" u="1"/>
        <s v="T3_Sites_AGI Construction_FY27 REGION 004 &amp; North" u="1"/>
        <s v="BP H2Teeside Feasibility Studies" u="1"/>
        <s v="MERC Pilot B: Aberdeen Unit C Recompression" u="1"/>
        <s v="MERC Pilot C: Aberdeen Unit B ZLS" u="1"/>
        <s v="MERC_ Pilot D: Peterborough Recompression" u="1"/>
        <s v="Project Union - East Coast Hydrogen In Line Inspection (ILI)" u="1"/>
        <s v="T3_LOCATION 09999_Fire and Gas Protection System" u="1"/>
        <s v="T3_LOCATION 09999_Civils" u="1"/>
        <s v="T2_Huntingdon MCPD Asset Health" u="1"/>
        <s v="T2_Wormington MCPD Asset Health" u="1"/>
        <s v="NON-SANCTIONED CUSTOMER APPLICATIONS" u="1"/>
        <s v="T3_WIRP - Pipelines" u="1"/>
        <s v="T3_LOCATION 09999 Electrical" u="1"/>
        <s v="T3_LOCATION 09999_Pipework Painting" u="1"/>
        <s v="T3_LOCATION 09999_Boiler Replacement" u="1"/>
        <s v="T3_Climate Change Adaptation East" u="1"/>
        <s v="T3_Compressor_Overhauls_WEST" u="1"/>
        <s v="T3_Compressor_Emissions_WEST" u="1"/>
        <s v="T3_New Hydrogen Fuel Gas" u="1"/>
        <s v="T3_AC Remediation REGION 004 &amp; North" u="1"/>
        <s v="T3_CP Remediation REGION 004 &amp; North" u="1"/>
        <s v="T3_ REGION 004 &amp; North CP/ILI Runs FY27" u="1"/>
        <s v="T3_ILI Dig REGION 004 &amp; North" u="1"/>
        <s v="T3_PSSR REGION 004 &amp; North" u="1"/>
        <s v="T3_LOCATION 9001 Cyber Control" u="1"/>
        <s v="T3_LOCATION 9001_ AH Electrical Lot 1" u="1"/>
        <s v="T3_LOCATION 9001_AH Mechanical_Lot 1" u="1"/>
        <s v="T3_LOCATION 9001_Redundant Assets" u="1"/>
        <s v="T3_LOCATION 9001 Ducting&amp;Subsidence FY29 S&amp;N" u="1"/>
        <s v="T3_GQMT FY27_East" u="1"/>
        <s v="T3_Metering_Year 2&amp;3_West" u="1"/>
        <s v="T2_EWR Diversion" u="1"/>
        <s v="T2_Aldbrough Pathfinder New connection" u="1"/>
        <s v="T2_St.Fergus MCPD Asset Health" u="1"/>
        <s v="T2_Avonmouth - AFP - Entry/Exit" u="1"/>
        <s v="T2_Sandhutton - AFP - Entry/Exit" u="1"/>
        <s v="T2_Enhanced Physical Security Phase 4 Lot 2" u="1"/>
        <s v="T3_Aylesbury Fire &amp; Gas upgrade" u="1"/>
        <s v="T2_LOCATION 09999 Project Village" u="1"/>
        <s v="T2_AGI_26 Operations" u="1"/>
        <s v="T2_AGI Contingencies 25" u="1"/>
        <s v="T3_LOCATION 9001 HV Switch Gear" u="1"/>
        <s v="T3_LOCATION 9001 FireWaterSysRepl FY27 S&amp;N" u="1"/>
        <s v="T3_LOCATION 9001_AH Mechanical Lot 3" u="1"/>
        <s v="T3_LOCATION 9001_AH Electrical Lot 2" u="1"/>
        <s v="T3_LOCATION 9001 FOSR Project Village" u="1"/>
        <s v="T2_Unit A Reverse Engineering De-Build" u="1"/>
        <s v="T3_Grain Power Station PARCA" u="1"/>
        <s v="T3_Sites_AGI Construction_FY28 West" u="1"/>
        <s v="Project Union East Coast FEED" u="1"/>
        <s v="T2_Thornton Curtis Decom" u="1"/>
        <s v="Damhead Creek Modification" u="1"/>
        <s v="Cheshire Power Station Modification" u="1"/>
        <s v="T2_VPI Rye House black start modification" u="1"/>
        <s v="T2_LOCATION 09999 Filtration_FY26" u="1"/>
        <s v="T3_LOCATION 9001_AH Valves Lot 2" u="1"/>
        <s v="T2_Barrow Wobbe Limit" u="1"/>
        <s v="T2_Shell LOCATION 9001 C02 2.5-4%" u="1"/>
        <s v="T2_Perenco Wobbe Limit" u="1"/>
        <s v="T2_Isle of Grain Wobbe Limit" u="1"/>
        <s v="T2_Corby Power Station Accession" u="1"/>
        <s v="T2_Ancala SAGE Increase 02" u="1"/>
        <s v="T2_Rough Temporary SCA" u="1"/>
        <s v="T2_BBL Wobbe Limit" u="1"/>
        <s v="T2_Interconnector Wobbe Limit" u="1"/>
        <s v="T2_Carrsides Farm/Exit Connection" u="1"/>
        <s v="T2_Moffat 500" u="1"/>
        <s v="T3_Compressor_AH_Cabs_East" u="1"/>
        <s v="T3_Compressor_AH_Cabs_West" u="1"/>
        <s v="T2_Lokring_Fittings_Remediation" u="1"/>
        <s v="T3_WEST HOLDING PAC (UNSANCTIONED WORK)" u="1"/>
        <s v="T3_EAST HOLDING PAC (UNSANCTIONED WORK)" u="1"/>
        <s v="T3_REGION 004 &amp; NORTH HOLDING PAC (UNSANCTIONED WORK)" u="1"/>
        <s v="T3_MAJOR PROJECT HOLDING PAC (UNSANCTIONED WORK)" u="1"/>
        <s v="T3_Sites_AGI Construction_FY28 REGION 004 &amp; North" u="1"/>
        <s v="T3_Sites_AGI Construction_FY28 East" u="1"/>
        <s v="T3_Sites_Feeder 5_AGI_Replacement_FY27 East" u="1"/>
        <s v="T3_Sites_AGI Construction_FY27 West" u="1"/>
        <s v="T3_Sites_AGI Minor Refurbishment_West" u="1"/>
        <s v="T3_Sites AGI &amp; Tranche 1 NGS FY27 S&amp;N" u="1"/>
        <s v="T2_Hatton Compressor Station Decommissioning" u="1"/>
        <s v="T3_GQMT_FY29_East" u="1"/>
        <s v="T3_Gas Quality Gas Quality Years 1-3 S&amp;N" u="1"/>
        <s v="T3_GQMT_FY28_East" u="1"/>
        <s v="T3_Metering Years 1-3 S&amp;N" u="1"/>
        <s v="T3_Compressor Campaign_East" u="1"/>
        <s v="T3_Compressor_Overhauls_S&amp;N" u="1"/>
        <s v="T3_Elvedan Biomethane Entry/Exit" u="1"/>
        <s v="T3_AC Remediation East" u="1"/>
        <s v="T3_AC Remediation West" u="1"/>
        <s v="T3_INSPECTIONS EAST FY27" u="1"/>
        <s v="T3_CP Remediation West" u="1"/>
        <s v="T3_ILI RUN_EAST_FY27" u="1"/>
        <s v="T3_ILI Dig East" u="1"/>
        <s v="T3_ILI/CIPS Dig West" u="1"/>
        <s v="T3_PSSR East" u="1"/>
        <s v="T3_PSSR &amp; ILI Run FY27 West" u="1"/>
        <s v="T3_Compressor_ Breakdown_Budget_S&amp;N" u="1"/>
        <s v="T3_Compressor_ Breakdown_Budget_EAST" u="1"/>
        <s v="T3_Compressor_ Breakdown_Budget_WEST" u="1"/>
        <s v="T3_Climate Change Adaptation REGION 004 &amp; North" u="1"/>
        <s v="T3_Climate Change Adaptation West" u="1"/>
        <s v="T3_AH National Electrical Campaign East" u="1"/>
        <s v="T3_AH National Electrical Campaign West" u="1"/>
        <s v="T3_Telemetry_Year 1&amp;2_West" u="1"/>
        <s v="T3_Telemetry RIIO3 Years 1-3 S&amp;N" u="1"/>
        <s v="T3_LOCATION 9001 Heating Repairs" u="1"/>
        <s v="T3_WIRP Pressure Uprating Feeder 28" u="1"/>
        <s v="T3_Sites_AGI Construction_FY29 REGION 004 &amp; North" u="1"/>
        <s v="T3_Sites_AGI Replacement_FY29 East" u="1"/>
        <s v="T3_Sites_AGI Construction_FY29 West" u="1"/>
        <s v="T3_REGION 004 &amp; NORTH UM HOLDING PAC (UNSANCTIONED WORK)" u="1"/>
        <s v="T3_EAST UM HOLDING PAC (UNSANCTIONED WORK)" u="1"/>
        <s v="T3_WEST UM HOLDING PAC (UNSANCTIONED WORK)" u="1"/>
        <s v="T3_MAJOR PROGRAMMES UM HOLDING PAC (UNSANCTIONED WORK)" u="1"/>
        <s v="T3_Keadby North Feasibility Study" u="1"/>
        <s v="T3_LOCATION 9001 FireAlarmSnder &amp; DC UPS S&amp;N" u="1"/>
        <s v="T3_LOCATION 9001 Standby Generator FY29 S&amp;N" u="1"/>
        <s v="T3_LOCATION 9001_AH Electrical Lot 5" u="1"/>
        <s v="T3_LOCATION 9001_AH Painting" u="1"/>
        <s v="T3_LOCATION 9001 AH Valves Lot 3" u="1"/>
        <s v="T3_LOCATION 9001 AH Valves Lot 4" u="1"/>
        <s v="T3_LOCATION 9001 AH Valves Lot 5" u="1"/>
        <s v="T3_Project Union LOCATION 9001 to Teesside" u="1"/>
        <s v="T3_Project Union North West" u="1"/>
        <s v="T3_Cotesbach Pre-Connection Study" u="1"/>
        <s v="T3_Great Gidding Biomethane Connection" u="1"/>
        <s v="T3_SERP Cambridge Compressor MJ Reconfiguration" u="1"/>
        <s v="T3_ISS New Solution East" u="1"/>
        <s v="T3_ISS New Solution REGION 004 &amp; North" u="1"/>
        <s v="T3_Compressor_Rewheel_S&amp;N" u="1"/>
        <s v="T3_Cotesbach Feasibility Study" u="1"/>
        <s v="T3_Cambridge Park &amp; Ride" u="1"/>
        <s v="T3_Rackheath Housing Development Diversion" u="1"/>
        <s v="T2_Pipelines_Chuchover OLI/4" u="1"/>
        <s v="T3_Humber Hydrogen Pipeline" u="1"/>
        <s v="T3 Sites Didcot PS FY27 West" u="1"/>
        <s v="T3_Sites_AGI Condensate Tanks_East" u="1"/>
        <s v="T3_PSUP Temporary Fencing West" u="1"/>
        <s v="T3_Pipelines_Nitrogen Sleeves Minor Remediations West" u="1"/>
        <s v="T3_PSUP Asset Refresh West" u="1"/>
        <s v="T3_PSUP Physical Security West" u="1"/>
        <s v="T3_PSUP ISS New Solution RIIO-3 West" u="1"/>
        <s v="T3_PSUP ISS New Solution RIIO-4 Survey West" u="1"/>
        <s v="T3_Construction Upgrades FY27 REGION 004 &amp; North" u="1"/>
        <s v="T3_Minor Civils FY27 REGION 004 &amp; North" u="1"/>
        <s v="T3_NGS R&amp;M FY28 REGION 004 &amp; North" u="1"/>
        <s v="T3_Pipelines_Protection West" u="1"/>
        <s v="T3_Overpressure protection study and replacement of relief valve_West" u="1"/>
        <s v="T3_ Marker Posts_West" u="1"/>
        <s v="T3_Pipelines_SCRUB West" u="1"/>
        <s v="T3_Pipelines_Surveys_West" u="1"/>
        <s v="T3_Compressor_Spares_WEST" u="1"/>
        <s v="T3_Compressors_UMs_WEST" u="1"/>
        <s v="Double Block and Monitor Technology" u="1"/>
        <s v="T3_EAST CDS" u="1"/>
        <s v="T3_EASEMENTS_EAST_FY28" u="1"/>
        <s v="T3_EASEMENTS_EAST_FY29" u="1"/>
        <s v="T3_EASEMENTS_EAST_FY30" u="1"/>
        <s v="T3_EASEMENTS_EAST_FY31" u="1"/>
        <s v="T3_ILI RUN EAST FY28" u="1"/>
        <s v="T3_ILI RUN EAST FY29 (UNSANCTIONED WORK)" u="1"/>
        <s v="T3_ILI RUN EAST FY30 (UNSANCTIONED WORK)" u="1"/>
        <s v="T3_ILI RUN EAST FY31 (UNSANCTIONED WORK)" u="1"/>
        <s v="T3_DIGS EAST FY28" u="1"/>
        <s v="T3_DIGS EAST FY29" u="1"/>
        <s v="T3_DIGS EAST FY30" u="1"/>
        <s v="T3_DIGS EAST FY31" u="1"/>
        <s v="T3_PSSR EAST FY28" u="1"/>
        <s v="T3_PSSR EAST FY29" u="1"/>
        <s v="T3_PSSR EAST FY30" u="1"/>
        <s v="T3_PSSR EAST FY31" u="1"/>
        <s v="T3_NITROGEN SLEEVES EAST FY28" u="1"/>
        <s v="T3_NITROGEN SLEEVES EAST FY31" u="1"/>
        <s v="T3_PIP EAST FY27" u="1"/>
        <s v="T3_PIP EAST FY28" u="1"/>
        <s v="T3_PIP EAST FY31" u="1"/>
        <s v="T3_AERIAL MARKERS EAST FY27" u="1"/>
        <s v="T3_AERIAL MARKERS EAST FY28" u="1"/>
        <s v="T3_AERIAL MARKERS EAST FY29" u="1"/>
        <s v="T3_AERIAL MARKERS EAST FY30" u="1"/>
        <s v="T3_AERIAL MARKERS EAST FY31" u="1"/>
        <s v="T3_AH Pipelines EAST FY27" u="1"/>
        <s v="T3_AH Pipelines EAST FY28" u="1"/>
        <s v="T3_AH Pipelines EAST FY29" u="1"/>
        <s v="T3_AH Pipelines EAST FY30" u="1"/>
        <s v="T3_AH Pipelines EAST FY31" u="1"/>
        <s v="T3_CP WORKS E2 FY27" u="1"/>
        <s v="T3_AC DESIGNS_EAST" u="1"/>
        <s v="T3_Inspections EAST FY28" u="1"/>
        <s v="T3_Inspections EAST FY29" u="1"/>
        <s v="T3_EASEMENTS_EAST_FY27" u="1"/>
        <s v="T3_REACTIVE_ VALVES _EAST (UNSANCTIONED WORK)" u="1"/>
        <s v="T3_LOCATION 09999_ROAD_CROSSINGS (UNSANCTIONED)" u="1"/>
        <s v="T3_Emerging CapEX FY27" u="1"/>
        <s v="T3_EASEMENT EAST E5 FY27" u="1"/>
        <s v="T3_Inspections EAST FY30" u="1"/>
        <s v="T3_Inspections EAST FY31" u="1"/>
        <s v="T3_Sites_AGI Construction_FY29 Tranche 2 West" u="1"/>
        <s v="T3_Nitrogen Sleeves FY27 S&amp;N" u="1"/>
        <s v="T3_CP Rebalance FY27 S&amp;N" u="1"/>
        <s v="T3_Transformer Rectifiers FY27 S&amp;N" u="1"/>
        <s v="T3_Sites_AGI_Upgrades_FY27_East" u="1"/>
        <s v="T3_Electrical_Campaign_FY28_East" u="1"/>
        <s v="T3_PSUP_ISS_FY27_East" u="1"/>
        <s v="T3_Feeder 4_AGI Replacement_FY27_East" u="1"/>
        <s v="T3_LOCATION 9001 CAB Roof and Gantries S&amp;N" u="1"/>
        <s v="T3_ LOCATION 9001 Redundant Asset Decomission FY27 S&amp;N" u="1"/>
        <s v="T3_LOCATION 9001 Construction and Repairs S&amp;N" u="1"/>
        <s v="T3_Aberdeen Minor Civil Repairs FY27 S&amp;N" u="1"/>
        <s v="T3_Aberdeen Compressor Overhaul FY27 S&amp;N" u="1"/>
        <s v="T3_Teeside Physical Security FY27 S&amp;N" u="1"/>
        <s v="T3_LOCATION 9001 Site Lighting S&amp;N" u="1"/>
        <s v="T3_Aberdeen PSSR S&amp;N" u="1"/>
        <s v="T3_Bilingham GQMT S&amp;N" u="1"/>
        <s v="Hatfield Moor Gas Storage" u="1"/>
        <s v="East Airdrie Link Road F10 Diversion" u="1"/>
        <s v="T3_East Airdrie Link Road F10 Diversion S&amp;N" u="1"/>
        <s v="T3_Scrub/Tree Clearance FY27 S&amp;N" u="1"/>
        <s v="T3_Sites_NRV_Campaign_FY27_East" u="1"/>
        <s v="T3_Teeside GQMT FY27 S&amp;N" u="1"/>
        <s v="T3_Dragon_LNG_West" u="1"/>
        <s v="T3_ Sites Churchover MJ V10 FY27 West" u="1"/>
        <s v="T3_Winnington_West" u="1"/>
        <s v="T3_ Sites Modular Boiler Replacement West" u="1"/>
        <s v="T3_ Sites Condensate Tanks West" u="1"/>
        <s v="T3_MAH Tranche 2 FY27 S&amp;N" u="1"/>
        <s v="T3_EOL &amp; CCTV FY27 S&amp;N" u="1"/>
        <s v="T3_Aberdeen Compressor Overhauls FY27 S&amp;N" u="1"/>
        <s v="T3_Compressor_Vent_Systems_WEST" u="1"/>
        <s v="T3_Sites_AGI_Churchover_MJ_FCV West" u="1"/>
        <s v="T3_Sites_AGI Upgrades Campaign_East" u="1"/>
        <s v="T3_PSUP_CCTV &amp; EOL Satellites West" u="1"/>
        <s v="T3_Sites_AGI_Barrington_FY28 West" u="1"/>
        <s v="T3_Sites_AGI_Alrewas_MJ_FCV West" u="1"/>
        <s v="T3_Bishop Auckland Fire Suppression FY27 S&amp;N" u="1"/>
        <s v="T3_Sites_AGI FY28 Refurbishment East" u="1"/>
        <s v="T3_HIPF - Feeder 3 Pipeline" u="1"/>
        <s v="T3_HIPF - Feeder 5 Pipeline" u="1"/>
        <s v="T3_Avonbridge Dry Gas Seal FY27 S&amp;N" u="1"/>
        <s v="T3_PSUP_CCTV &amp; EOL Satellites_East" u="1"/>
        <s v="T3_Sites_AGI Construction_FY30" u="1"/>
        <s v="T3_Compressors Overhauls_East" u="1"/>
        <s v="T3_HIPF Feeder 7 Pipeline" u="1"/>
        <s v="T3_HIPF Feeder 11 Pipeline" u="1"/>
        <s v="T3_TR/CP FY28-FY31 S&amp;N" u="1"/>
        <s v="T3_LOCATION 9001 GSMR S&amp;N" u="1"/>
        <s v="T3_Kirriemuir Lube Oil FY27 S&amp;N" u="1"/>
        <s v="T3_LOCATION 9001 Metering S&amp;N" u="1"/>
        <s v="T3_CP Test Post Replacement &amp; Repair West" u="1"/>
        <s v="T3_CP - AC Mitigation Survey and design" u="1"/>
        <s v="T3_CP Test Posts &amp; Marker Posts S&amp;N" u="1"/>
        <s v="T3_Emerging_Capex_WEST" u="1"/>
        <s v="T3_LOCATION 9001 U1D PT OH&amp;A/O CoolerRep S&amp;N" u="1"/>
        <s v="T3_Light &amp; Cable Replacement FY27 S&amp;N" u="1"/>
        <s v="T3_CP &amp; TR FY28 S&amp;N" u="1"/>
        <s v="T3_Nitrogen Sleeves FY28 S&amp;N" u="1"/>
        <s v="T3_CIPS &amp; ILI Runs FY28 S&amp;N" u="1"/>
        <s v="T3_ILI Digs FY28 S&amp;N" u="1"/>
        <s v="T3_Longtown FCV FY28 S&amp;N" u="1"/>
        <s v="T3_Easement Tree &amp; Scrub FY28 S&amp;N" u="1"/>
        <s v="T3_CP &amp; Marker Posts FY28 S&amp;N" u="1"/>
        <s v="T3_PSSR FY28 S&amp;N" u="1"/>
        <s v="T3_CIPS Digs FY28 S&amp;N" u="1"/>
        <s v="T3_Low Ness Farm Entry/Exit Connection S&amp;N" u="1"/>
        <s v="T3_CP System Upgrade FY28 S&amp;N" u="1"/>
        <s v="T3_Telemetry_Year 3-5_West" u="1"/>
        <s v="T3_Compressor_MOPICO_WEST" u="1"/>
        <s v="T3_Secure Operational Mobility (Remote Working &amp; Break Glass Mechanism Refresh)" u="1"/>
        <s v="T3_DN Connections - Enhanced Security" u="1"/>
        <s v="T3_Gas Metering IoT" u="1"/>
        <s v="T3_Secure Site Connectivity" u="1"/>
        <s v="T3_Gas Quality IoT" u="1"/>
        <s v="T3_Engineering Scrum Team" u="1"/>
        <s v="T3_PERSEC (Personnel, Vetting &amp; Assurance Capability Phase 1)" u="1"/>
        <s v="T3_GPS clock in the OT Level 1 and/or Level 2 Architecture (OT-P15-D01 &amp; OT-P15-D02)" u="1"/>
        <s v="T3_Sandbox Environment for Dynamic Analysis" u="1"/>
        <s v="T3_M&amp;C Minor Ops Zone 2 S&amp;N" u="1"/>
        <s v="T3_Bishop Auckland Inconel Bolt FY27 S&amp;N" u="1"/>
        <s v="T3_Aberdeen Compressor GQMT FY27 S&amp;N" u="1"/>
        <s v="T3_Aberdeen CAB Replace/Survey FY27 S&amp;N" u="1"/>
        <s v="T3_SNAP FY29 S&amp;N" u="1"/>
        <s v="T3_Aberdeen Standby Power FY27 S&amp;N" u="1"/>
        <s v="National Gas Operations RIIO T3 SO â€“ Land &amp; Property - WEST" u="1"/>
        <s v="T3_Sites_AGI Holmes Chapel FY28 West" u="1"/>
        <s v="National Gas ECR Relocation" u="1"/>
        <s v="T3_Minor Hose Kiosk FY27 S&amp;N" u="1"/>
        <s v="P - WEST - CIPS for Capital Refurbishment - Survey - Draw Down" u="1"/>
        <s v="P - NORTH - CIPS for Capital Refurbishment - Survey - Draw Down" u="1"/>
      </sharedItems>
    </cacheField>
    <cacheField name="Area" numFmtId="0">
      <sharedItems containsBlank="1"/>
    </cacheField>
    <cacheField name="Facility" numFmtId="0">
      <sharedItems containsBlank="1"/>
    </cacheField>
    <cacheField name="FinalSubmissionInvIdT3" numFmtId="0">
      <sharedItems containsBlank="1" count="328">
        <s v="C-PROJECT 000169"/>
        <s v="C-PROJECT 000134"/>
        <s v="C-PROJECT 000172"/>
        <s v="C-PROJECT 000173"/>
        <s v="C-PROJECT 000175"/>
        <s v="C-PROJECT 000187"/>
        <s v="C-PROJECT 000194"/>
        <m/>
        <s v="C-PROJECT 000176"/>
        <s v="C-PROJECT 000195"/>
        <s v="C-333"/>
        <s v="C-196"/>
        <s v="C-177"/>
        <s v="C-PROJECT 0001PROJECT 00014"/>
        <s v="C-PROJECT 0001PROJECT 00018"/>
        <s v="C-195"/>
        <s v="C-186"/>
        <s v="C-185"/>
        <s v="C-133"/>
        <s v="C-PROJECT 000111"/>
        <s v="C-PROJECT 000115"/>
        <s v="C-PROJECT 000117"/>
        <s v="C-PROJECT 000129"/>
        <s v="C-PROJECT 000131"/>
        <s v="C-PROJECT 000135"/>
        <s v="C-069" u="1"/>
        <s v="C-034" u="1"/>
        <s v="C-072" u="1"/>
        <s v="C-073" u="1"/>
        <s v="C-075" u="1"/>
        <s v="C-087" u="1"/>
        <s v="C-094" u="1"/>
        <s v="C-076" u="1"/>
        <s v="C-095" u="1"/>
        <s v="C-004" u="1"/>
        <s v="C-008" u="1"/>
        <s v="C-011" u="1"/>
        <s v="C-015" u="1"/>
        <s v="C-017" u="1"/>
        <s v="C-029" u="1"/>
        <s v="C-031" u="1"/>
        <s v="C-035" u="1"/>
        <s v="C-045" u="1"/>
        <s v="C-048" u="1"/>
        <s v="C-053" u="1"/>
        <s v="C-134" u="1"/>
        <s v="C-139" u="1"/>
        <s v="C-141" u="1"/>
        <s v="C-152" u="1"/>
        <s v="C-171" u="1"/>
        <s v="C-183" u="1"/>
        <s v="C-057" u="1"/>
        <s v="C-217" u="1"/>
        <s v="C-240" u="1"/>
        <s v="C-254" u="1"/>
        <s v="C-264" u="1"/>
        <s v="C-276" u="1"/>
        <s v="C-132" u="1"/>
        <s v="C-249" u="1"/>
        <s v="C-001" u="1"/>
        <s v="C-272" u="1"/>
        <s v="C-273" u="1"/>
        <s v="C-275" u="1"/>
        <s v="C-077" u="1"/>
        <s v="Si-281" u="1"/>
        <s v="C-304" u="1"/>
        <s v="C-106" u="1"/>
        <s v="C-334" u="1"/>
        <s v="C-311" u="1"/>
        <s v="C-313" u="1"/>
        <s v="C-314" u="1"/>
        <s v="C-316" u="1"/>
        <s v="C-317" u="1"/>
        <s v="C-318" u="1"/>
        <s v="C-319" u="1"/>
        <s v="C-320" u="1"/>
        <s v="C-322" u="1"/>
        <s v="C-324" u="1"/>
        <s v="C-325" u="1"/>
        <s v="C-307" u="1"/>
        <s v="C-327" u="1"/>
        <s v="C-302" u="1"/>
        <s v="C-121" u="1"/>
        <s v="C-105" u="1"/>
        <s v="C-189" u="1"/>
        <s v="C-078" u="1"/>
        <s v="C-024" u="1"/>
        <s v="C-199" u="1"/>
        <s v="C-265" u="1"/>
        <s v="C-341" u="1"/>
        <s v="C-340" u="1"/>
        <s v="C-337" u="1"/>
        <s v="C-339" u="1"/>
        <s v="C-338" u="1"/>
        <s v="C-051" u="1"/>
        <s v="C-206" u="1"/>
        <s v="C-335" u="1"/>
        <s v="Se-55" u="1"/>
        <s v="Se-1" u="1"/>
        <s v="Se-3" u="1"/>
        <s v="Si-019" u="1"/>
        <s v="Si-020" u="1"/>
        <s v="Se-5" u="1"/>
        <s v="Se-27" u="1"/>
        <s v="Se-30" u="1"/>
        <s v="Se-57" u="1"/>
        <s v="Se-4" u="1"/>
        <s v="Se-18" u="1"/>
        <s v="Se-7" u="1"/>
        <s v="Se-9" u="1"/>
        <s v="Se-11" u="1"/>
        <s v="Se-31" u="1"/>
        <s v="Se-13" u="1"/>
        <s v="Se-12" u="1"/>
        <s v="Se-41" u="1"/>
        <s v="Se-10" u="1"/>
        <s v="Se-39" u="1"/>
        <s v="Se-6" u="1"/>
        <s v="Se-40" u="1"/>
        <s v="Se-17" u="1"/>
        <s v="Se-34" u="1"/>
        <s v="Se-8" u="1"/>
        <s v="Se-45" u="1"/>
        <s v="Se-53" u="1"/>
        <s v="P-059" u="1"/>
        <s v="P-047" u="1"/>
        <s v="P-038" u="1"/>
        <s v="P-041" u="1"/>
        <s v="P-081" u="1"/>
        <s v="P-096" u="1"/>
        <s v="P-012" u="1"/>
        <s v="P-104" u="1"/>
        <s v="P-005" u="1"/>
        <s v="P-044" u="1"/>
        <s v="P-045" u="1"/>
        <s v="P-001" u="1"/>
        <s v="P-002" u="1"/>
        <s v="P-003" u="1"/>
        <s v="P-004" u="1"/>
        <s v="P-099" u="1"/>
        <s v="P-023" u="1"/>
        <s v="P-017" u="1"/>
        <s v="P-110" u="1"/>
        <s v="P-111" u="1"/>
        <s v="P-027" u="1"/>
        <s v="P-098" u="1"/>
        <s v="P-107" u="1"/>
        <s v="P-114" u="1"/>
        <s v="Si-084" u="1"/>
        <s v="Si-090" u="1"/>
        <s v="Si-201" u="1"/>
        <s v="Si-033" u="1"/>
        <s v="Si-005" u="1"/>
        <s v="Si-002" u="1"/>
        <s v="Si-004" u="1"/>
        <s v="Si-001" u="1"/>
        <s v="Si-008" u="1"/>
        <s v="Si-023" u="1"/>
        <s v="Si-024" u="1"/>
        <s v="Si-029" u="1"/>
        <s v="Si-025" u="1"/>
        <s v="Si-016" u="1"/>
        <s v="Si-012" u="1"/>
        <s v="Si-013" u="1"/>
        <s v="Si-010" u="1"/>
        <s v="Si-053" u="1"/>
        <s v="Si-051" u="1"/>
        <s v="Si-032" u="1"/>
        <s v="Si-036" u="1"/>
        <s v="Si-021" u="1"/>
        <s v="Si-062" u="1"/>
        <s v="Si-052" u="1"/>
        <s v="Si-139" u="1"/>
        <s v="Si-195" u="1"/>
        <s v="Si-046" u="1"/>
        <s v="Si-047" u="1"/>
        <s v="Si-164" u="1"/>
        <s v="Si-136" u="1"/>
        <s v="Si-155" u="1"/>
        <s v="Si-064" u="1"/>
        <s v="Si-157" u="1"/>
        <s v="Si-070" u="1"/>
        <s v="Si-191" u="1"/>
        <s v="Si-193" u="1"/>
        <s v="Si-055" u="1"/>
        <s v="Si-138" u="1"/>
        <s v="Si-230" u="1"/>
        <s v="Si-183" u="1"/>
        <s v="Si-238" u="1"/>
        <s v="Si-144" u="1"/>
        <s v="Si-152" u="1"/>
        <s v="Si-100" u="1"/>
        <s v="Si-186" u="1"/>
        <s v="Si-103" u="1"/>
        <s v="Si-147" u="1"/>
        <s v="Si-145" u="1"/>
        <s v="Si-146" u="1"/>
        <s v="Si-121" u="1"/>
        <s v="Si-118" u="1"/>
        <s v="Si-104" u="1"/>
        <s v="Si-130" u="1"/>
        <s v="Si-148" u="1"/>
        <s v="Si-150" u="1"/>
        <s v="Si-167" u="1"/>
        <s v="Si-026" u="1"/>
        <s v="Si-223" u="1"/>
        <s v="Si-214" u="1"/>
        <s v="Si-219" u="1"/>
        <s v="Si-220" u="1"/>
        <s v="Si-257" u="1"/>
        <s v="Si-073" u="1"/>
        <s v="Si-274" u="1"/>
        <s v="Si-273" u="1"/>
        <s v="Si-260" u="1"/>
        <s v="Si-261" u="1"/>
        <s v="C-309" u="1"/>
        <s v="Si-087" u="1"/>
        <s v="Si-256" u="1"/>
        <s v="Si-248" u="1"/>
        <s v="Si-251" u="1"/>
        <s v="Si-253" u="1"/>
        <s v="Si-175" u="1"/>
        <s v="Si-204" u="1"/>
        <s v="Si-156" u="1"/>
        <s v="Si-149" u="1"/>
        <s v="Si-264" u="1"/>
        <s v="Si-265" u="1"/>
        <s v="Si-267" u="1"/>
        <s v="Si-254" u="1"/>
        <s v="C-068" u="1"/>
        <s v="C-098" u="1"/>
        <s v="C-229" u="1"/>
        <s v="C-097" u="1"/>
        <s v="C-101" u="1"/>
        <s v="C-005" u="1"/>
        <s v="C-192" u="1"/>
        <s v="C-193" u="1"/>
        <s v="C-020" u="1"/>
        <s v="C-138" u="1"/>
        <s v="C-140" u="1"/>
        <s v="C-149" u="1"/>
        <s v="C-221" u="1"/>
        <s v="C-261" u="1"/>
        <s v="C-247" u="1"/>
        <s v="C-070" u="1"/>
        <s v="C-236" u="1"/>
        <s v="C-145" u="1"/>
        <s v="C-238" u="1"/>
        <s v="C-224" u="1"/>
        <s v="C-303" u="1"/>
        <s v="C-312" u="1"/>
        <s v="C-315" u="1"/>
        <s v="C-321" u="1"/>
        <s v="C-326" u="1"/>
        <s v="C-197" u="1"/>
        <s v="C-079" u="1"/>
        <s v="C-332" u="1"/>
        <s v="Se-52" u="1"/>
        <s v="Se-2" u="1"/>
        <s v="Se-26" u="1"/>
        <s v="Se-29" u="1"/>
        <s v="Se-49" u="1"/>
        <s v="Se-36" u="1"/>
        <s v="P-095" u="1"/>
        <s v="Si-031" u="1"/>
        <s v="Si-006" u="1"/>
        <s v="C-242" u="1"/>
        <s v="Si-061" u="1"/>
        <s v="Si-161" u="1"/>
        <s v="Si-177" u="1"/>
        <s v="Si-178" u="1"/>
        <s v="Si-179" u="1"/>
        <s v="Si-181" u="1"/>
        <s v="Si-225" u="1"/>
        <s v="Si-229" u="1"/>
        <s v="Si-075" u="1"/>
        <s v="Si-217" u="1"/>
        <s v="Si-222" u="1"/>
        <s v="Si-246" u="1"/>
        <s v="Si-258" u="1"/>
        <s v="Si-269" u="1"/>
        <s v="Si-272" u="1"/>
        <s v="Si-255" u="1"/>
        <s v="Si-250" u="1"/>
        <s v="C-071" u="1"/>
        <s v="C-099" u="1"/>
        <s v="C-118" u="1"/>
        <s v="C-014" u="1"/>
        <s v="C-023" u="1"/>
        <s v="C-026" u="1"/>
        <s v="C-041" u="1"/>
        <s v="C-154" u="1"/>
        <s v="C-157" u="1"/>
        <s v="C-165" u="1"/>
        <s v="C-239" u="1"/>
        <s v="C-323" u="1"/>
        <s v="C-279" u="1"/>
        <s v="C-308" u="1"/>
        <s v="C-329" u="1"/>
        <s v="C-330" u="1"/>
        <s v="C-305" u="1"/>
        <s v="C-336" u="1"/>
        <s v="Se-56" u="1"/>
        <s v="Se-51" u="1"/>
        <s v="Se-38" u="1"/>
        <s v="Se-43" u="1"/>
        <s v="Se-37" u="1"/>
        <s v="Se-42" u="1"/>
        <s v="P-009" u="1"/>
        <s v="P-109" u="1"/>
        <s v="P-113" u="1"/>
        <s v="Si-094" u="1"/>
        <s v="Si-202" u="1"/>
        <s v="Si-113" u="1"/>
        <s v="Si-180" u="1"/>
        <s v="Si-188" u="1"/>
        <s v="Si-189" u="1"/>
        <s v="Si-192" u="1"/>
        <s v="Si-194" u="1"/>
        <s v="Si-101" u="1"/>
        <s v="Si-083" u="1"/>
        <s v="Si-154" u="1"/>
        <s v="Si-218" u="1"/>
        <s v="Si-236" u="1"/>
        <s v="Si-237" u="1"/>
        <s v="Si-069" u="1"/>
        <s v="Si-266" u="1"/>
        <s v="Si-268" u="1"/>
      </sharedItems>
    </cacheField>
    <cacheField name="FinalSubmissionVolumeT3" numFmtId="0">
      <sharedItems containsString="0" containsBlank="1" containsNumber="1" minValue="0" maxValue="104.94" count="135">
        <n v="1"/>
        <n v="0"/>
        <m/>
        <n v="2"/>
        <n v="0.125" u="1"/>
        <n v="0.5" u="1"/>
        <n v="50.74" u="1"/>
        <n v="30.29" u="1"/>
        <n v="34.35" u="1"/>
        <n v="50.55" u="1"/>
        <n v="40.4" u="1"/>
        <n v="54.76" u="1"/>
        <n v="55.18" u="1"/>
        <n v="47.16" u="1"/>
        <n v="89.89" u="1"/>
        <n v="30.26" u="1"/>
        <n v="75.44" u="1"/>
        <n v="95.16" u="1"/>
        <n v="24.02" u="1"/>
        <n v="16.11" u="1"/>
        <n v="54.27" u="1"/>
        <n v="44.07" u="1"/>
        <n v="26.62" u="1"/>
        <n v="45.54" u="1"/>
        <n v="48.97" u="1"/>
        <n v="59.66" u="1"/>
        <n v="58.61" u="1"/>
        <n v="88.99" u="1"/>
        <n v="92.55" u="1"/>
        <n v="17.940000000000001" u="1"/>
        <n v="25.64" u="1"/>
        <n v="68.459999999999994" u="1"/>
        <n v="21.81" u="1"/>
        <n v="75.63" u="1"/>
        <n v="34.68" u="1"/>
        <n v="13.72" u="1"/>
        <n v="56.07" u="1"/>
        <n v="69.38" u="1"/>
        <n v="2.48" u="1"/>
        <n v="50" u="1"/>
        <n v="23.57" u="1"/>
        <n v="42.21" u="1"/>
        <n v="26.82" u="1"/>
        <n v="3" u="1"/>
        <n v="4" u="1"/>
        <n v="5" u="1"/>
        <n v="8" u="1"/>
        <n v="12" u="1"/>
        <n v="6" u="1"/>
        <n v="15" u="1"/>
        <n v="16" u="1"/>
        <n v="5.05" u="1"/>
        <n v="53.76" u="1"/>
        <n v="60.14" u="1"/>
        <n v="30.86" u="1"/>
        <n v="47.54" u="1"/>
        <n v="4.78" u="1"/>
        <n v="3.48" u="1"/>
        <n v="42.65" u="1"/>
        <n v="3.18" u="1"/>
        <n v="38.04" u="1"/>
        <n v="65.760000000000005" u="1"/>
        <n v="34.42" u="1"/>
        <n v="55.12" u="1"/>
        <n v="47.39" u="1"/>
        <n v="74.819999999999993" u="1"/>
        <n v="49.91" u="1"/>
        <n v="29.65" u="1"/>
        <n v="67.22" u="1"/>
        <n v="21.38" u="1"/>
        <n v="21.46" u="1"/>
        <n v="8.07" u="1"/>
        <n v="76.540000000000006" u="1"/>
        <n v="48.21" u="1"/>
        <n v="37.44" u="1"/>
        <n v="62.46" u="1"/>
        <n v="31.92" u="1"/>
        <n v="10.08" u="1"/>
        <n v="30.04" u="1"/>
        <n v="63.16" u="1"/>
        <n v="15.68" u="1"/>
        <n v="48.82" u="1"/>
        <n v="26.76" u="1"/>
        <n v="54.9" u="1"/>
        <n v="21.13" u="1"/>
        <n v="62.12" u="1"/>
        <n v="44.34" u="1"/>
        <n v="40.89" u="1"/>
        <n v="16.850000000000001" u="1"/>
        <n v="7.29" u="1"/>
        <n v="1.61" u="1"/>
        <n v="6.32" u="1"/>
        <n v="42.78" u="1"/>
        <n v="42.97" u="1"/>
        <n v="39.69" u="1"/>
        <n v="5.6" u="1"/>
        <n v="1.29" u="1"/>
        <n v="25.5" u="1"/>
        <n v="74.489999999999995" u="1"/>
        <n v="17.48" u="1"/>
        <n v="39" u="1"/>
        <n v="65.569999999999993" u="1"/>
        <n v="53.4" u="1"/>
        <n v="48.17" u="1"/>
        <n v="64.53" u="1"/>
        <n v="31.63" u="1"/>
        <n v="64.34" u="1"/>
        <n v="36.58" u="1"/>
        <n v="38.090000000000003" u="1"/>
        <n v="26.39" u="1"/>
        <n v="55.7" u="1"/>
        <n v="19.600000000000001" u="1"/>
        <n v="74.849999999999994" u="1"/>
        <n v="62.75" u="1"/>
        <n v="26.46" u="1"/>
        <n v="7.0000000000000007E-2" u="1"/>
        <n v="104.94" u="1"/>
        <n v="58.29" u="1"/>
        <n v="33.29" u="1"/>
        <n v="51.93" u="1"/>
        <n v="58.5" u="1"/>
        <n v="39.22" u="1"/>
        <n v="63.8" u="1"/>
        <n v="7.34" u="1"/>
        <n v="20.14" u="1"/>
        <n v="68.569999999999993" u="1"/>
        <n v="63.29" u="1"/>
        <n v="48.08" u="1"/>
        <n v="23.55" u="1"/>
        <n v="62.57" u="1"/>
        <n v="40.83" u="1"/>
        <n v="50.8" u="1"/>
        <n v="3.43" u="1"/>
        <n v="7" u="1"/>
        <n v="9" u="1"/>
      </sharedItems>
    </cacheField>
    <cacheField name="InvestmentVolume" numFmtId="0">
      <sharedItems containsString="0" containsBlank="1" containsNumber="1" containsInteger="1" minValue="0" maxValue="2"/>
    </cacheField>
    <cacheField name="InvIdCode" numFmtId="0">
      <sharedItems containsBlank="1"/>
    </cacheField>
    <cacheField name="PriceBaseOfEnteredCost" numFmtId="0">
      <sharedItems containsBlank="1"/>
    </cacheField>
    <cacheField name="Product" numFmtId="0">
      <sharedItems containsBlank="1"/>
    </cacheField>
    <cacheField name="Site" numFmtId="0">
      <sharedItems containsBlank="1"/>
    </cacheField>
    <cacheField name="SiteId" numFmtId="0">
      <sharedItems containsBlank="1"/>
    </cacheField>
    <cacheField name="FundingPositionT3Proposed" numFmtId="0">
      <sharedItems containsBlank="1"/>
    </cacheField>
    <cacheField name="InterventionDriver" numFmtId="0">
      <sharedItems containsBlank="1"/>
    </cacheField>
    <cacheField name="SAPProject" numFmtId="0">
      <sharedItems containsBlank="1" containsMixedTypes="1" containsNumber="1" containsInteger="1" minValue="0" maxValue="0" count="21">
        <m/>
        <s v="PROJECT 1276"/>
        <s v="PROJECT 0700"/>
        <s v="PROJECT 0694"/>
        <s v="PROJECT 0285"/>
        <s v="PROJECT 0417"/>
        <s v="PROJECT 0628"/>
        <s v="PROJECT 0416"/>
        <s v="PROJECT 0437"/>
        <s v="PROJECT 0695"/>
        <n v="0"/>
        <s v="PROJECT 0915"/>
        <s v="PROJECT 0371"/>
        <s v="PROJECT 0926"/>
        <s v="PROJECT 0697"/>
        <s v="PROJECT 0280"/>
        <s v="PROJECT 0462"/>
        <s v="PROJECT 1107"/>
        <s v="PROJECT 1108"/>
        <s v="PROJECT 0445"/>
        <s v="PROJECT 0641"/>
      </sharedItems>
    </cacheField>
    <cacheField name="PercentageOfWBS" numFmtId="0">
      <sharedItems containsString="0" containsBlank="1" containsNumber="1" minValue="0" maxValue="100" count="627">
        <m/>
        <n v="84.292599999999993"/>
        <n v="43.584099999999999"/>
        <n v="44.2913"/>
        <n v="25"/>
        <n v="50"/>
        <n v="1.5448999999999999"/>
        <n v="33.33"/>
        <n v="100"/>
        <n v="4.5837000000000003"/>
        <n v="10.8087"/>
        <n v="17.590199999999999"/>
        <n v="0"/>
        <n v="24.55"/>
        <n v="0.28000000000000003"/>
        <n v="40.031799999999997"/>
        <n v="30.196400000000001"/>
        <n v="4.2906000000000004"/>
        <n v="48.433199999999999"/>
        <n v="39.706000000000003"/>
        <n v="0.97919999999999996" u="1"/>
        <n v="2.4662000000000002" u="1"/>
        <n v="12.5" u="1"/>
        <n v="24.735499999999998" u="1"/>
        <n v="6.9246999999999996" u="1"/>
        <n v="16.666699999999999" u="1"/>
        <n v="8.2560000000000002" u="1"/>
        <n v="1.9511000000000001" u="1"/>
        <n v="0.08" u="1"/>
        <n v="4.2793000000000001" u="1"/>
        <n v="1.4563999999999999" u="1"/>
        <n v="1.1299999999999999" u="1"/>
        <n v="16.5" u="1"/>
        <n v="1.1526000000000001" u="1"/>
        <n v="68.103899999999996" u="1"/>
        <n v="4.9114000000000004" u="1"/>
        <n v="4.95" u="1"/>
        <n v="5.0621" u="1"/>
        <n v="0.71440000000000003" u="1"/>
        <n v="0.92020000000000002" u="1"/>
        <n v="1.9235" u="1"/>
        <n v="25.765699999999999" u="1"/>
        <n v="0.71479999999999999" u="1"/>
        <n v="1.4393" u="1"/>
        <n v="29.6373" u="1"/>
        <n v="0.52400000000000002" u="1"/>
        <n v="2.2585000000000002" u="1"/>
        <n v="9.8437000000000001" u="1"/>
        <n v="10.161" u="1"/>
        <n v="4.0763999999999996" u="1"/>
        <n v="1.9421999999999999" u="1"/>
        <n v="4.3110999999999997" u="1"/>
        <n v="1.8853" u="1"/>
        <n v="15.7562" u="1"/>
        <n v="2.5390000000000001" u="1"/>
        <n v="5.3291000000000004" u="1"/>
        <n v="1.6664000000000001" u="1"/>
        <n v="1.6227" u="1"/>
        <n v="2.9424000000000001" u="1"/>
        <n v="0.14710000000000001" u="1"/>
        <n v="75.6935" u="1"/>
        <n v="32.982700000000001" u="1"/>
        <n v="20" u="1"/>
        <n v="45" u="1"/>
        <n v="53.4" u="1"/>
        <n v="11.1111" u="1"/>
        <n v="95" u="1"/>
        <n v="44" u="1"/>
        <n v="67.385000000000005" u="1"/>
        <n v="3.4007999999999998" u="1"/>
        <n v="2.9441999999999999" u="1"/>
        <n v="8.5135000000000005" u="1"/>
        <n v="84" u="1"/>
        <n v="13.66" u="1"/>
        <n v="25.395800000000001" u="1"/>
        <n v="52" u="1"/>
        <n v="28.4" u="1"/>
        <n v="98.5" u="1"/>
        <n v="5.3223000000000003" u="1"/>
        <n v="85.6" u="1"/>
        <n v="22.45" u="1"/>
        <n v="7" u="1"/>
        <n v="7.03" u="1"/>
        <n v="16.827200000000001" u="1"/>
        <n v="14.9" u="1"/>
        <n v="23.5197" u="1"/>
        <n v="6.6" u="1"/>
        <n v="79.94" u="1"/>
        <n v="6.22" u="1"/>
        <n v="75.2" u="1"/>
        <n v="6.2" u="1"/>
        <n v="49.518300000000004" u="1"/>
        <n v="16.307500000000001" u="1"/>
        <n v="19.440000000000001" u="1"/>
        <n v="30.9" u="1"/>
        <n v="41.6" u="1"/>
        <n v="1.4" u="1"/>
        <n v="12.85" u="1"/>
        <n v="19.585899999999999" u="1"/>
        <n v="17.720099999999999" u="1"/>
        <n v="24.716899999999999" u="1"/>
        <n v="28.11" u="1"/>
        <n v="16.96" u="1"/>
        <n v="4.0869" u="1"/>
        <n v="7.5946999999999996" u="1"/>
        <n v="7.6982999999999997" u="1"/>
        <n v="4.1551" u="1"/>
        <n v="87.15" u="1"/>
        <n v="3.0053999999999998" u="1"/>
        <n v="6.0854999999999997" u="1"/>
        <n v="33" u="1"/>
        <n v="33.079599999999999" u="1"/>
        <n v="66.920400000000001" u="1"/>
        <n v="67" u="1"/>
        <n v="21" u="1"/>
        <n v="28.5" u="1"/>
        <n v="4.4001000000000001" u="1"/>
        <n v="22" u="1"/>
        <n v="1.1733" u="1"/>
        <n v="2" u="1"/>
        <n v="9.15" u="1"/>
        <n v="9.1" u="1"/>
        <n v="5.3582999999999998" u="1"/>
        <n v="78" u="1"/>
        <n v="5.3316999999999997" u="1"/>
        <n v="2.7027000000000001" u="1"/>
        <n v="10" u="1"/>
        <n v="5.2629999999999999" u="1"/>
        <n v="16.670000000000002" u="1"/>
        <n v="6.9089999999999998" u="1"/>
        <n v="17.224499999999999" u="1"/>
        <n v="21.727" u="1"/>
        <n v="16.665700000000001" u="1"/>
        <n v="9" u="1"/>
        <n v="16.649999999999999" u="1"/>
        <n v="11.416" u="1"/>
        <n v="8.0783000000000005" u="1"/>
        <n v="2.3809999999999998" u="1"/>
        <n v="2.9409999999999998" u="1"/>
        <n v="2.0409999999999999" u="1"/>
        <n v="3.6031" u="1"/>
        <n v="7.6920000000000002" u="1"/>
        <n v="7.1429" u="1"/>
        <n v="11.11" u="1"/>
        <n v="1.4500000000000001E-2" u="1"/>
        <n v="75" u="1"/>
        <n v="9.1999999999999993" u="1"/>
        <n v="1.5" u="1"/>
        <n v="22.7" u="1"/>
        <n v="1.0476000000000001" u="1"/>
        <n v="31" u="1"/>
        <n v="23" u="1"/>
        <n v="20.796900000000001" u="1"/>
        <n v="8.4" u="1"/>
        <n v="16" u="1"/>
        <n v="43.5" u="1"/>
        <n v="13.3" u="1"/>
        <n v="1.7749999999999999" u="1"/>
        <n v="50.9" u="1"/>
        <n v="61.47" u="1"/>
        <n v="47.5" u="1"/>
        <n v="1" u="1"/>
        <n v="1.1020000000000001" u="1"/>
        <n v="11.4557" u="1"/>
        <n v="33.334000000000003" u="1"/>
        <n v="38.268500000000003" u="1"/>
        <n v="7.1420000000000003" u="1"/>
        <n v="0.13170000000000001" u="1"/>
        <n v="8" u="1"/>
        <n v="0.22919999999999999" u="1"/>
        <n v="5.4589999999999996" u="1"/>
        <n v="0.27489999999999998" u="1"/>
        <n v="2.04" u="1"/>
        <n v="44.9" u="1"/>
        <n v="1.9013" u="1"/>
        <n v="27.9" u="1"/>
        <n v="68.400000000000006" u="1"/>
        <n v="3.4544000000000001" u="1"/>
        <n v="12.6084" u="1"/>
        <n v="33.299999999999997" u="1"/>
        <n v="0.47399999999999998" u="1"/>
        <n v="25.3" u="1"/>
        <n v="0.32219999999999999" u="1"/>
        <n v="62.23" u="1"/>
        <n v="0.50409999999999999" u="1"/>
        <n v="64.400000000000006" u="1"/>
        <n v="60.7" u="1"/>
        <n v="3.5034999999999998" u="1"/>
        <n v="0.41370000000000001" u="1"/>
        <n v="15" u="1"/>
        <n v="5.1428000000000003" u="1"/>
        <n v="15.8" u="1"/>
        <n v="1.3233999999999999" u="1"/>
        <n v="1.4075" u="1"/>
        <n v="17.600000000000001" u="1"/>
        <n v="1.0994999999999999" u="1"/>
        <n v="3.8026" u="1"/>
        <n v="0.95069999999999999" u="1"/>
        <n v="18.1754" u="1"/>
        <n v="7.0941999999999998" u="1"/>
        <n v="3.0331999999999999" u="1"/>
        <n v="2.6425999999999998" u="1"/>
        <n v="1.6199999999999999E-2" u="1"/>
        <n v="2.1987999999999999" u="1"/>
        <n v="0.38890000000000002" u="1"/>
        <n v="34.4" u="1"/>
        <n v="48.9" u="1"/>
        <n v="53.828000000000003" u="1"/>
        <n v="1.0934999999999999" u="1"/>
        <n v="3.0303" u="1"/>
        <n v="13.915100000000001" u="1"/>
        <n v="85.1" u="1"/>
        <n v="12.0969" u="1"/>
        <n v="74.3" u="1"/>
        <n v="89.7" u="1"/>
        <n v="33.6" u="1"/>
        <n v="0.23100000000000001" u="1"/>
        <n v="7.2664999999999997" u="1"/>
        <n v="0.53" u="1"/>
        <n v="6.3100000000000003E-2" u="1"/>
        <n v="4.0019999999999998" u="1"/>
        <n v="0.1918" u="1"/>
        <n v="70" u="1"/>
        <n v="3" u="1"/>
        <n v="0.1" u="1"/>
        <n v="0.78269999999999995" u="1"/>
        <n v="7.8" u="1"/>
        <n v="1.26" u="1"/>
        <n v="1.92" u="1"/>
        <n v="2.87" u="1"/>
        <n v="12.765499999999999" u="1"/>
        <n v="2.3199999999999998E-2" u="1"/>
        <n v="5.1000000000000004E-3" u="1"/>
        <n v="7.6E-3" u="1"/>
        <n v="7.1999999999999998E-3" u="1"/>
        <n v="3.9100000000000003E-2" u="1"/>
        <n v="6.8400000000000002E-2" u="1"/>
        <n v="1.7" u="1"/>
        <n v="31.5" u="1"/>
        <n v="0.64549999999999996" u="1"/>
        <n v="8.4000000000000005E-2" u="1"/>
        <n v="0.32" u="1"/>
        <n v="0.31" u="1"/>
        <n v="0.3846" u="1"/>
        <n v="6.7053000000000003" u="1"/>
        <n v="0.87239999999999995" u="1"/>
        <n v="1.2" u="1"/>
        <n v="2.7" u="1"/>
        <n v="3.3" u="1"/>
        <n v="1.1537999999999999" u="1"/>
        <n v="13" u="1"/>
        <n v="21.6" u="1"/>
        <n v="3.1" u="1"/>
        <n v="1.0767" u="1"/>
        <n v="10.3375" u="1"/>
        <n v="2.8" u="1"/>
        <n v="4.5" u="1"/>
        <n v="7.3" u="1"/>
        <n v="2.92" u="1"/>
        <n v="13.63" u="1"/>
        <n v="11.63" u="1"/>
        <n v="18" u="1"/>
        <n v="4.6399999999999997" u="1"/>
        <n v="51.030999999999999" u="1"/>
        <n v="9.5" u="1"/>
        <n v="2.39" u="1"/>
        <n v="2.38" u="1"/>
        <n v="34.466799999999999" u="1"/>
        <n v="4.5736999999999997" u="1"/>
        <n v="36.299999999999997" u="1"/>
        <n v="0.30380000000000001" u="1"/>
        <n v="0.17080000000000001" u="1"/>
        <n v="3.6234999999999999" u="1"/>
        <n v="0.19059999999999999" u="1"/>
        <n v="4.0453999999999999" u="1"/>
        <n v="14.063499999999999" u="1"/>
        <n v="12.6" u="1"/>
        <n v="2.9962" u="1"/>
        <n v="0.15559999999999999" u="1"/>
        <n v="13.8" u="1"/>
        <n v="0.33400000000000002" u="1"/>
        <n v="1.7399999999999999E-2" u="1"/>
        <n v="1.8" u="1"/>
        <n v="0.7" u="1"/>
        <n v="1.1000000000000001" u="1"/>
        <n v="4.8808999999999996" u="1"/>
        <n v="4" u="1"/>
        <n v="16.728899999999999" u="1"/>
        <n v="33.099800000000002" u="1"/>
        <n v="97.778199999999998" u="1"/>
        <n v="31.765699999999999" u="1"/>
        <n v="2.9803000000000002" u="1"/>
        <n v="6.7416" u="1"/>
        <n v="14.6614" u="1"/>
        <n v="0.3" u="1"/>
        <n v="0.2394" u="1"/>
        <n v="5.3705999999999996" u="1"/>
        <n v="6.6523000000000003" u="1"/>
        <n v="48.2" u="1"/>
        <n v="70.2" u="1"/>
        <n v="0.22720000000000001" u="1"/>
        <n v="1.3895" u="1"/>
        <n v="33.200000000000003" u="1"/>
        <n v="10.3" u="1"/>
        <n v="49.587400000000002" u="1"/>
        <n v="20.190000000000001" u="1"/>
        <n v="41.508800000000001" u="1"/>
        <n v="0.02" u="1"/>
        <n v="0.62129999999999996" u="1"/>
        <n v="0.5" u="1"/>
        <n v="0.90700000000000003" u="1"/>
        <n v="9.4222999999999999" u="1"/>
        <n v="3.6" u="1"/>
        <n v="4.2230999999999996" u="1"/>
        <n v="2.4870999999999999" u="1"/>
        <n v="11.850300000000001" u="1"/>
        <n v="5.6" u="1"/>
        <n v="5.5" u="1"/>
        <n v="8.6999999999999993" u="1"/>
        <n v="2.1" u="1"/>
        <n v="1.11E-2" u="1"/>
        <n v="5" u="1"/>
        <n v="3.3368000000000002" u="1"/>
        <n v="1.0971" u="1"/>
        <n v="0.99080000000000001" u="1"/>
        <n v="0.11849999999999999" u="1"/>
        <n v="1.2310000000000001" u="1"/>
        <n v="13.1342" u="1"/>
        <n v="29.189599999999999" u="1"/>
        <n v="9.8927999999999994" u="1"/>
        <n v="59" u="1"/>
        <n v="6.0156000000000001" u="1"/>
        <n v="11.942299999999999" u="1"/>
        <n v="0.96750000000000003" u="1"/>
        <n v="0.29170000000000001" u="1"/>
        <n v="3.3332999999999999" u="1"/>
        <n v="28.532599999999999" u="1"/>
        <n v="53.554099999999998" u="1"/>
        <n v="7.4595000000000002" u="1"/>
        <n v="33.340000000000003" u="1"/>
        <n v="27.4" u="1"/>
        <n v="1.63" u="1"/>
        <n v="4.1421999999999999" u="1"/>
        <n v="9.2773000000000003" u="1"/>
        <n v="1.3182" u="1"/>
        <n v="2.0958999999999999" u="1"/>
        <n v="46.537599999999998" u="1"/>
        <n v="19.7958" u="1"/>
        <n v="4.6303000000000001" u="1"/>
        <n v="21.294599999999999" u="1"/>
        <n v="3.0411000000000001" u="1"/>
        <n v="1.4489000000000001" u="1"/>
        <n v="1.7833000000000001" u="1"/>
        <n v="0.84960000000000002" u="1"/>
        <n v="0.97430000000000005" u="1"/>
        <n v="95.11" u="1"/>
        <n v="1.0837000000000001" u="1"/>
        <n v="1.1773" u="1"/>
        <n v="0.79" u="1"/>
        <n v="1.1557999999999999" u="1"/>
        <n v="0.30880000000000002" u="1"/>
        <n v="10.8628" u="1"/>
        <n v="34.034700000000001" u="1"/>
        <n v="5.2561" u="1"/>
        <n v="2.5091000000000001" u="1"/>
        <n v="35" u="1"/>
        <n v="23.316199999999998" u="1"/>
        <n v="30" u="1"/>
        <n v="1.3" u="1"/>
        <n v="5.2168999999999999" u="1"/>
        <n v="5.4276" u="1"/>
        <n v="31.7" u="1"/>
        <n v="25.2241" u="1"/>
        <n v="32.200000000000003" u="1"/>
        <n v="25.860499999999998" u="1"/>
        <n v="76" u="1"/>
        <n v="45.1" u="1"/>
        <n v="5.4447000000000001" u="1"/>
        <n v="86" u="1"/>
        <n v="40.207099999999997" u="1"/>
        <n v="80.56" u="1"/>
        <n v="59.54" u="1"/>
        <n v="11.9" u="1"/>
        <n v="36" u="1"/>
        <n v="48" u="1"/>
        <n v="6.7" u="1"/>
        <n v="20.3" u="1"/>
        <n v="10.67" u="1"/>
        <n v="3.3108" u="1"/>
        <n v="7.8247" u="1"/>
        <n v="7.6673" u="1"/>
        <n v="7.0336999999999996" u="1"/>
        <n v="4.6154999999999999" u="1"/>
        <n v="13.1" u="1"/>
        <n v="72.37" u="1"/>
        <n v="5.8494000000000002" u="1"/>
        <n v="33.332999999999998" u="1"/>
        <n v="0.93" u="1"/>
        <n v="9.7378999999999998" u="1"/>
        <n v="11.119" u="1"/>
        <n v="0.78239999999999998" u="1"/>
        <n v="6" u="1"/>
        <n v="20.515799999999999" u="1"/>
        <n v="3.8" u="1"/>
        <n v="44.1" u="1"/>
        <n v="85.413600000000002" u="1"/>
        <n v="55.6" u="1"/>
        <n v="8.9" u="1"/>
        <n v="9.3000000000000007" u="1"/>
        <n v="1.9533" u="1"/>
        <n v="49.1" u="1"/>
        <n v="1.2573000000000001" u="1"/>
        <n v="44.4" u="1"/>
        <n v="12" u="1"/>
        <n v="5.8129999999999997" u="1"/>
        <n v="49" u="1"/>
        <n v="6.4637000000000002" u="1"/>
        <n v="58.9" u="1"/>
        <n v="76.620199999999997" u="1"/>
        <n v="74.7" u="1"/>
        <n v="8.8115000000000006" u="1"/>
        <n v="7.5549999999999997" u="1"/>
        <n v="2.2294" u="1"/>
        <n v="56.503599999999999" u="1"/>
        <n v="18.8796" u="1"/>
        <n v="74" u="1"/>
        <n v="2.0674000000000001" u="1"/>
        <n v="11.4" u="1"/>
        <n v="9.4" u="1"/>
        <n v="22.4817" u="1"/>
        <n v="1.1361000000000001" u="1"/>
        <n v="18.8996" u="1"/>
        <n v="4.8" u="1"/>
        <n v="20.6" u="1"/>
        <n v="3.2199999999999999E-2" u="1"/>
        <n v="2.8519999999999999" u="1"/>
        <n v="76.5" u="1"/>
        <n v="23.905100000000001" u="1"/>
        <n v="85.100800000000007" u="1"/>
        <n v="86.3" u="1"/>
        <n v="1.978" u="1"/>
        <n v="12.2674" u="1"/>
        <n v="12.09" u="1"/>
        <n v="12.3" u="1"/>
        <n v="50.412599999999998" u="1"/>
        <n v="1.4127000000000001" u="1"/>
        <n v="3.9E-2" u="1"/>
        <n v="29.1995" u="1"/>
        <n v="16.7346" u="1"/>
        <n v="23.425999999999998" u="1"/>
        <n v="1.17E-2" u="1"/>
        <n v="1E-4" u="1"/>
        <n v="12.8" u="1"/>
        <n v="68.5" u="1"/>
        <n v="0.14649999999999999" u="1"/>
        <n v="4.2000000000000003E-2" u="1"/>
        <n v="3.98" u="1"/>
        <n v="8.8000000000000007" u="1"/>
        <n v="36.69" u="1"/>
        <n v="51.8" u="1"/>
        <n v="0.3231" u="1"/>
        <n v="9.17" u="1"/>
        <n v="0.1908" u="1"/>
        <n v="0.64470000000000005" u="1"/>
        <n v="39.9" u="1"/>
        <n v="1.8499999999999999E-2" u="1"/>
        <n v="72" u="1"/>
        <n v="92.565700000000007" u="1"/>
        <n v="2.7766999999999999" u="1"/>
        <n v="10.8154" u="1"/>
        <n v="0.44" u="1"/>
        <n v="0.9" u="1"/>
        <n v="51.586300000000001" u="1"/>
        <n v="4.2294" u="1"/>
        <n v="44.632899999999999" u="1"/>
        <n v="1.0111000000000001" u="1"/>
        <n v="9.9868000000000006" u="1"/>
        <n v="15.126799999999999" u="1"/>
        <n v="1.6406000000000001" u="1"/>
        <n v="6.8" u="1"/>
        <n v="1.7771999999999999" u="1"/>
        <n v="22.2287" u="1"/>
        <n v="6.98" u="1"/>
        <n v="3.1318999999999999" u="1"/>
        <n v="8.3000000000000007" u="1"/>
        <n v="1.6" u="1"/>
        <n v="20.671199999999999" u="1"/>
        <n v="0.52669999999999995" u="1"/>
        <n v="1.2644" u="1"/>
        <n v="1.1378999999999999" u="1"/>
        <n v="35.601399999999998" u="1"/>
        <n v="0.28999999999999998" u="1"/>
        <n v="0.05" u="1"/>
        <n v="54.997599999999998" u="1"/>
        <n v="8.3241999999999994" u="1"/>
        <n v="1.7218" u="1"/>
        <n v="2.3647" u="1"/>
        <n v="20.968299999999999" u="1"/>
        <n v="38.497100000000003" u="1"/>
        <n v="0.4395" u="1"/>
        <n v="9.3332999999999995" u="1"/>
        <n v="30.639299999999999" u="1"/>
        <n v="45.05" u="1"/>
        <n v="5.6881000000000004" u="1"/>
        <n v="5.9043000000000001" u="1"/>
        <n v="30.555700000000002" u="1"/>
        <n v="97.969200000000001" u="1"/>
        <n v="19.444299999999998" u="1"/>
        <n v="14.586399999999999" u="1"/>
        <n v="15.7074" u="1"/>
        <n v="13.4437" u="1"/>
        <n v="18.399999999999999" u="1"/>
        <n v="1.1419999999999999" u="1"/>
        <n v="0.45700000000000002" u="1"/>
        <n v="0.95520000000000005" u="1"/>
        <n v="2.8113000000000001" u="1"/>
        <n v="20.494499999999999" u="1"/>
        <n v="2.0074999999999998" u="1"/>
        <n v="5.1424000000000003" u="1"/>
        <n v="3.496" u="1"/>
        <n v="96.95" u="1"/>
        <n v="11.7575" u="1"/>
        <n v="12.1365" u="1"/>
        <n v="21.219200000000001" u="1"/>
        <n v="1.1480999999999999" u="1"/>
        <n v="2.0308000000000002" u="1"/>
        <n v="6.2781000000000002" u="1"/>
        <n v="3.5830000000000002" u="1"/>
        <n v="14" u="1"/>
        <n v="30.051300000000001" u="1"/>
        <n v="96.2" u="1"/>
        <n v="33.335000000000001" u="1"/>
        <n v="92.175299999999993" u="1"/>
        <n v="77.3" u="1"/>
        <n v="39.5" u="1"/>
        <n v="34.799999999999997" u="1"/>
        <n v="85.93" u="1"/>
        <n v="57.936999999999998" u="1"/>
        <n v="14.02" u="1"/>
        <n v="80.2" u="1"/>
        <n v="22.459" u="1"/>
        <n v="5.6513999999999998" u="1"/>
        <n v="26.3" u="1"/>
        <n v="42" u="1"/>
        <n v="22.831399999999999" u="1"/>
        <n v="3.7964000000000002" u="1"/>
        <n v="2.9691999999999998" u="1"/>
        <n v="38" u="1"/>
        <n v="9.0500000000000007" u="1"/>
        <n v="5.8221999999999996" u="1"/>
        <n v="14.971" u="1"/>
        <n v="12.192299999999999" u="1"/>
        <n v="16.66" u="1"/>
        <n v="2.9420000000000002" u="1"/>
        <n v="4.0843999999999996" u="1"/>
        <n v="5.0144000000000002" u="1"/>
        <n v="2.0773999999999999" u="1"/>
        <n v="21.15" u="1"/>
        <n v="52.5" u="1"/>
        <n v="0.6" u="1"/>
        <n v="40" u="1"/>
        <n v="28.6" u="1"/>
        <n v="34.9" u="1"/>
        <n v="98.2" u="1"/>
        <n v="2.4965000000000002" u="1"/>
        <n v="7.7461000000000002" u="1"/>
        <n v="13.6" u="1"/>
        <n v="17" u="1"/>
        <n v="72.05" u="1"/>
        <n v="16.982500000000002" u="1"/>
        <n v="5.78" u="1"/>
        <n v="0.41980000000000001" u="1"/>
        <n v="66.7" u="1"/>
        <n v="88.16" u="1"/>
        <n v="1.4326000000000001" u="1"/>
        <n v="23.645199999999999" u="1"/>
        <n v="0.2326" u="1"/>
        <n v="31.823899999999998" u="1"/>
        <n v="56" u="1"/>
        <n v="12.4" u="1"/>
        <n v="3.69" u="1"/>
        <n v="6.9" u="1"/>
        <n v="2.0470999999999999" u="1"/>
        <n v="1.4582999999999999" u="1"/>
        <n v="4.1045999999999996" u="1"/>
        <n v="88.078699999999998" u="1"/>
        <n v="19.5" u="1"/>
        <n v="0.23910000000000001" u="1"/>
        <n v="9.6" u="1"/>
        <n v="0.29630000000000001" u="1"/>
        <n v="27.510400000000001" u="1"/>
        <n v="1.8816999999999999" u="1"/>
        <n v="0.1037" u="1"/>
        <n v="13.99" u="1"/>
        <n v="2.4" u="1"/>
        <n v="83.259399999999999" u="1"/>
        <n v="97.9529" u="1"/>
        <n v="69" u="1"/>
        <n v="45.5" u="1"/>
        <n v="48.413699999999999" u="1"/>
        <n v="9.6999999999999993" u="1"/>
        <n v="10.253399999999999" u="1"/>
        <n v="20.716000000000001" u="1"/>
        <n v="8.5" u="1"/>
        <n v="1.41" u="1"/>
        <n v="37.202199999999998" u="1"/>
        <n v="46.194699999999997" u="1"/>
        <n v="2.2000000000000002" u="1"/>
        <n v="9.4E-2" u="1"/>
        <n v="9.2946000000000009" u="1"/>
        <n v="7.81" u="1"/>
        <n v="21.968699999999998" u="1"/>
        <n v="37.5" u="1"/>
        <n v="2.0788000000000002" u="1"/>
        <n v="4.6666999999999996" u="1"/>
        <n v="3.2" u="1"/>
        <n v="6.1" u="1"/>
        <n v="6.4" u="1"/>
        <n v="7.6948999999999996" u="1"/>
        <n v="1.6055999999999999" u="1"/>
        <n v="0.42" u="1"/>
        <n v="22.501200000000001" u="1"/>
        <n v="0.90900000000000003" u="1"/>
        <n v="14.74" u="1"/>
        <n v="1.3481000000000001" u="1"/>
        <n v="76.406700000000001" u="1"/>
        <n v="1.6540999999999999" u="1"/>
      </sharedItems>
    </cacheField>
    <cacheField name="IDTTotalECC" numFmtId="0">
      <sharedItems containsBlank="1" containsMixedTypes="1" containsNumber="1" minValue="0" maxValue="5626756.9962576004"/>
    </cacheField>
    <cacheField name="PACCode" numFmtId="0">
      <sharedItems containsBlank="1" count="259">
        <s v="INITIATIVE 02056"/>
        <s v="INITIATIVE 02237"/>
        <s v="INITIATIVE 02000"/>
        <s v="INITIATIVE 02055"/>
        <s v="INITIATIVE 02054"/>
        <s v="INITIATIVE 01837"/>
        <s v="INITIATIVE 01975"/>
        <s v="INITIATIVE 02057"/>
        <s v="INITIATIVE 02069"/>
        <s v="INITIATIVE 01833"/>
        <s v="INITIATIVE 01993"/>
        <s v="INITIATIVE 02052"/>
        <s v="INITIATIVE 01912"/>
        <s v="INITIATIVE 02051"/>
        <s v="INITIATIVE 01835"/>
        <s v="INITIATIVE 02017"/>
        <s v="INITIATIVE 02098"/>
        <s v="INITIATIVE 02196"/>
        <s v="INITIATIVE 02026"/>
        <s v="INITIATIVE 02010"/>
        <s v="INITIATIVE 02102"/>
        <m/>
        <s v="PAC1207225" u="1"/>
        <s v="PAC1209954" u="1"/>
        <s v="PAC1204899" u="1"/>
        <s v="PAC1207224" u="1"/>
        <s v="PAC1207223" u="1"/>
        <s v="PAC1051190" u="1"/>
        <s v="PAC1203870" u="1"/>
        <s v="PAC1207226" u="1"/>
        <s v="PAC1207398" u="1"/>
        <s v="PAC1050295" u="1"/>
        <s v="PAC1204852" u="1"/>
        <s v="PAC1207157" u="1"/>
        <s v="PAC1064790" u="1"/>
        <s v="PAC1207156" u="1"/>
        <s v="PAC1050309" u="1"/>
        <s v="PAC1205073" u="1"/>
        <s v="PAC1207481" u="1"/>
        <s v="PAC1208473" u="1"/>
        <s v="PAC1206490" u="1"/>
        <s v="PAC1204911" u="1"/>
        <s v="PAC1207492" u="1"/>
        <s v="PAC1064859" u="1"/>
        <s v="PAC1206492" u="1"/>
        <s v="PAC1207491" u="1"/>
        <s v="PAC1206491" u="1"/>
        <s v="PAC1208468" u="1"/>
        <s v="PAC1204912" u="1"/>
        <s v="PAC1203987" u="1"/>
        <s v="PAC1207496" u="1"/>
        <s v="PAC1204910" u="1"/>
        <s v="PAC1206670" u="1"/>
        <s v="PAC1208471" u="1"/>
        <s v="PAC1208377" u="1"/>
        <s v="PAC1209391" u="1"/>
        <s v="PAC1210178" u="1"/>
        <s v="PAC1204900" u="1"/>
        <s v="PAC1207495" u="1"/>
        <s v="PAC1207369" u="1"/>
        <s v="PAC1208469" u="1"/>
        <s v="PAC1203227" u="1"/>
        <s v="PAC1208497" u="1"/>
        <s v="PAC1209550" u="1"/>
        <s v="PAC1203588" u="1"/>
        <s v="PAC1203946" u="1"/>
        <s v="PAC1205626" u="1"/>
        <s v="PAC1205627" u="1"/>
        <s v="PAC3851" u="1"/>
        <s v="PAC1056136" u="1"/>
        <s v="PAC1208475" u="1"/>
        <s v="PAC1209571" u="1"/>
        <s v="PAC1210187" u="1"/>
        <s v="PAC1207427" u="1"/>
        <s v="PAC1067021" u="1"/>
        <s v="PAC1208238" u="1"/>
        <s v="PAC1210182" u="1"/>
        <s v="PAC1207583" u="1"/>
        <s v="PAC1208240" u="1"/>
        <s v="PAC1207451" u="1"/>
        <s v="PAC1204914" u="1"/>
        <s v="PAC1207396" u="1"/>
        <s v="PAC1062721" u="1"/>
        <s v="PAC1062722" u="1"/>
        <s v="PAC1056141" u="1"/>
        <s v="PAC1062720" u="1"/>
        <s v="PAC1052533" u="1"/>
        <s v="PAC1056140" u="1"/>
        <s v="PAC3643" u="1"/>
        <s v="PAC1062719" u="1"/>
        <s v="PAC1067018" u="1"/>
        <s v="PAC1067022" u="1"/>
        <s v="PAC1064175" u="1"/>
        <s v="PAC1203155" u="1"/>
        <s v="PAC1207452" u="1"/>
        <s v="PAC3703" u="1"/>
        <s v="PAC1208415" u="1"/>
        <s v="PAC1208236" u="1"/>
        <s v="PAC1208239" u="1"/>
        <s v="PAC1208604" u="1"/>
        <s v="PAC1209387" u="1"/>
        <s v="PAC1209556" u="1"/>
        <s v="PAC1208318" u="1"/>
        <s v="PAC1207401" u="1"/>
        <s v="PAC1204904" u="1"/>
        <s v="PAC1208338" u="1"/>
        <s v="PAC1208366" u="1"/>
        <s v="PAC1208352" u="1"/>
        <s v="PAC1208371" u="1"/>
        <s v="PAC1210051" u="1"/>
        <s v="PAC1208237" u="1"/>
        <s v="PAC1208350" u="1"/>
        <s v="PAC1207405" u="1"/>
        <s v="PAC1207410" u="1"/>
        <s v="PAC1208340" u="1"/>
        <s v="PAC1208344" u="1"/>
        <s v="PAC1210052" u="1"/>
        <s v="PAC1204000" u="1"/>
        <s v="PAC1204905" u="1"/>
        <s v="PAC1208345" u="1"/>
        <s v="PAC1208342" u="1"/>
        <s v="PAC1208343" u="1"/>
        <s v="PAC1207403" u="1"/>
        <s v="PAC1208367" u="1"/>
        <s v="PAC1208375" u="1"/>
        <s v="PAC1208368" u="1"/>
        <s v="PAC1208322" u="1"/>
        <s v="PAC1208374" u="1"/>
        <s v="PAC1204906" u="1"/>
        <s v="PAC1208474" u="1"/>
        <s v="PAC1207409" u="1"/>
        <s v="PAC1208346" u="1"/>
        <s v="PAC1208347" u="1"/>
        <s v="PAC1208348" u="1"/>
        <s v="PAC1208349" u="1"/>
        <s v="PAC1208362" u="1"/>
        <s v="PAC1208364" u="1"/>
        <s v="PAC1208353" u="1"/>
        <s v="PAC1208363" u="1"/>
        <s v="PAC1204893" u="1"/>
        <s v="PAC3139" u="1"/>
        <s v="PAC1207572" u="1"/>
        <s v="PAC1207561" u="1"/>
        <s v="PAC1207407" u="1"/>
        <s v="PAC1208387" u="1"/>
        <s v="PAC1208530" u="1"/>
        <s v="PAC1208357" u="1"/>
        <s v="PAC1208359" u="1"/>
        <s v="PAC1208356" u="1"/>
        <s v="PAC1208355" u="1"/>
        <s v="PAC1208360" u="1"/>
        <s v="PAC1209933" u="1"/>
        <s v="PAC1208337" u="1"/>
        <s v="PAC1208336" u="1"/>
        <s v="PAC1208369" u="1"/>
        <s v="PAC1208334" u="1"/>
        <s v="PAC1208496" u="1"/>
        <s v="PAC1208335" u="1"/>
        <s v="PAC1208321" u="1"/>
        <s v="PAC1206671" u="1"/>
        <s v="PAC1207476" u="1"/>
        <s v="PAC1207228" u="1"/>
        <s v="PAC1052536" u="1"/>
        <s v="PAC1207426" u="1"/>
        <s v="PAC1056148" u="1"/>
        <s v="PAC1209386" u="1"/>
        <s v="PAC1207736" u="1"/>
        <s v="PAC1208391" u="1"/>
        <s v="PAC1208414" u="1"/>
        <s v="PAC1208611" u="1"/>
        <s v="PAC1208315" u="1"/>
        <s v="PAC1204765" u="1"/>
        <s v="PAC1208536" u="1"/>
        <s v="PAC1209531" u="1"/>
        <s v="PAC1208316" u="1"/>
        <s v="PAC1207227" u="1"/>
        <s v="PAC1207240" u="1"/>
        <s v="PAC1208470" u="1"/>
        <s v="PAC1207239" u="1"/>
        <s v="PAC1208319" u="1"/>
        <s v="PAC1207424" u="1"/>
        <s v="PAC1204898" u="1"/>
        <s v="PAC1207425" u="1"/>
        <s v="PAC1208220" u="1"/>
        <s v="PAC1208534" u="1"/>
        <s v="PAC1210176" u="1"/>
        <s v="PAC1210050" u="1"/>
        <s v="PAC1208422" u="1"/>
        <s v="PAC1200144" u="1"/>
        <s v="PAC1200143" u="1"/>
        <s v="PAC1065069" u="1"/>
        <s v="PAC1209389" u="1"/>
        <s v="PAC1207241" u="1"/>
        <s v="PAC1207242" u="1"/>
        <s v="PAC1210048" u="1"/>
        <s v="PAC1207478" u="1"/>
        <s v="PAC1204851" u="1"/>
        <s v="PAC1209576" u="1"/>
        <s v="PAC1208324" u="1"/>
        <s v="PAC1210185" u="1"/>
        <s v="PAC1207416" u="1"/>
        <s v="PAC1208610" u="1"/>
        <s v="PAC1210069" u="1"/>
        <s v="PAC1207575" u="1"/>
        <s v="PAC1056118" u="1"/>
        <s v="PAC1207480" u="1"/>
        <s v="PAC1203215" u="1"/>
        <s v="PAC1203909" u="1"/>
        <s v="PAC1203912" u="1"/>
        <s v="PAC1207574" u="1"/>
        <s v="PAC1209864" u="1"/>
        <s v="PAC1207395" u="1"/>
        <s v="PAC1207610" u="1"/>
        <s v="PAC1207397" u="1"/>
        <s v="PAC1056139" u="1"/>
        <s v="PAC1067023" u="1"/>
        <s v="PAC1204764" u="1"/>
        <s v="PAC1208472" u="1"/>
        <s v="PAC1208498" u="1"/>
        <s v="PAC1208241" u="1"/>
        <s v="PAC1207402" u="1"/>
        <s v="PAC1208339" u="1"/>
        <s v="PAC1209870" u="1"/>
        <s v="PAC1208341" u="1"/>
        <s v="PAC1210057" u="1"/>
        <s v="PAC1207404" u="1"/>
        <s v="PAC1203988" u="1"/>
        <s v="PAC1210058" u="1"/>
        <s v="PAC1209567" u="1"/>
        <s v="PAC1209568" u="1"/>
        <s v="PAC1209547" u="1"/>
        <s v="PAC1208358" u="1"/>
        <s v="PAC1207490" u="1"/>
        <s v="PAC1208361" u="1"/>
        <s v="PAC1204896" u="1"/>
        <s v="PAC1209388" u="1"/>
        <s v="PAC1051191" u="1"/>
        <s v="PAC1208467" u="1"/>
        <s v="PAC1204913" u="1"/>
        <s v="PAC1207467" u="1"/>
        <s v="PAC1208323" u="1"/>
        <s v="PAC1207479" u="1"/>
        <s v="PAC1066442" u="1"/>
        <s v="PAC1203226" u="1"/>
        <s v="PAC1205039" u="1"/>
        <s v="PAC3855" u="1"/>
        <s v="PAC1207147" u="1"/>
        <s v="PAC1205007" u="1"/>
        <s v="PAC1061350" u="1"/>
        <s v="PAC1067019" u="1"/>
        <s v="PAC1204902" u="1"/>
        <s v="PAC1207408" u="1"/>
        <s v="PAC1056117" u="1"/>
        <s v="PAC1208320" u="1"/>
        <s v="PAC1203855" u="1"/>
        <s v="PAC1208533" u="1"/>
        <s v="PAC1208317" u="1"/>
        <s v="PAC1056137" u="1"/>
        <s v="PAC1210190" u="1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n v="0"/>
    <s v="_Yes"/>
    <m/>
    <s v="COMPANY 001"/>
    <x v="0"/>
    <x v="0"/>
    <x v="0"/>
    <x v="0"/>
    <s v="IV"/>
    <s v="PERSON 095"/>
    <x v="0"/>
    <s v="INITIATIVE 01835"/>
    <s v="W99"/>
    <s v="6.2 Projects - Dummy - W99"/>
    <n v="4579.7542020000001"/>
    <n v="-4579.7542020000001"/>
    <n v="0"/>
    <n v="0"/>
    <m/>
    <m/>
    <m/>
    <m/>
    <m/>
    <m/>
    <m/>
    <m/>
  </r>
  <r>
    <n v="77127.05"/>
    <s v="_Yes"/>
    <m/>
    <s v="COMPANY 001"/>
    <x v="0"/>
    <x v="0"/>
    <x v="1"/>
    <x v="1"/>
    <s v="IV"/>
    <s v="PERSON 095"/>
    <x v="0"/>
    <s v="INITIATIVE 01835"/>
    <s v="W99"/>
    <s v="6.2 Projects - Dummy - W99"/>
    <n v="12091.766885999999"/>
    <n v="14791.835007"/>
    <n v="13880.261195999999"/>
    <n v="15669.999395999999"/>
    <m/>
    <m/>
    <m/>
    <m/>
    <m/>
    <m/>
    <m/>
    <m/>
  </r>
  <r>
    <n v="512918.02"/>
    <s v="_Yes"/>
    <m/>
    <s v="COMPANY 001"/>
    <x v="0"/>
    <x v="0"/>
    <x v="2"/>
    <x v="2"/>
    <s v="IV"/>
    <s v="PERSON 095"/>
    <x v="0"/>
    <s v="INITIATIVE 01835"/>
    <s v="W99"/>
    <s v="6.2 Projects - Dummy - W99"/>
    <n v="200175.18603300001"/>
    <n v="84586.576077000005"/>
    <n v="85841.704989000005"/>
    <n v="4698.6481350000004"/>
    <m/>
    <m/>
    <m/>
    <m/>
    <m/>
    <m/>
    <m/>
    <m/>
  </r>
  <r>
    <n v="822587.9"/>
    <s v="_Yes"/>
    <m/>
    <s v="COMPANY 001"/>
    <x v="0"/>
    <x v="0"/>
    <x v="3"/>
    <x v="3"/>
    <s v="IV"/>
    <s v="PERSON 095"/>
    <x v="0"/>
    <s v="INITIATIVE 01835"/>
    <s v="W99"/>
    <s v="6.2 Projects - Dummy - W99"/>
    <n v="142161.50276100001"/>
    <n v="158698.68372900001"/>
    <n v="116929.53801"/>
    <n v="184097.84193"/>
    <m/>
    <m/>
    <m/>
    <m/>
    <m/>
    <m/>
    <m/>
    <m/>
  </r>
  <r>
    <n v="598.62"/>
    <s v="_Yes"/>
    <m/>
    <s v="COMPANY 001"/>
    <x v="0"/>
    <x v="0"/>
    <x v="4"/>
    <x v="4"/>
    <s v="IV"/>
    <s v="PERSON 095"/>
    <x v="0"/>
    <s v="INITIATIVE 01835"/>
    <s v="W99"/>
    <s v="6.2 Projects - Dummy - W99"/>
    <n v="0"/>
    <n v="0"/>
    <n v="0"/>
    <n v="438.01025399999997"/>
    <m/>
    <m/>
    <m/>
    <m/>
    <m/>
    <m/>
    <m/>
    <m/>
  </r>
  <r>
    <n v="49000"/>
    <s v="_Yes"/>
    <m/>
    <s v="COMPANY 001"/>
    <x v="0"/>
    <x v="0"/>
    <x v="5"/>
    <x v="5"/>
    <s v="IV"/>
    <s v="PERSON 095"/>
    <x v="0"/>
    <s v="INITIATIVE 01835"/>
    <s v="W99"/>
    <s v="6.2 Projects - Dummy - W99"/>
    <n v="0"/>
    <n v="0"/>
    <n v="19755.900000000001"/>
    <n v="16097.4"/>
    <m/>
    <m/>
    <m/>
    <m/>
    <m/>
    <m/>
    <m/>
    <m/>
  </r>
  <r>
    <n v="-4082340.0100000021"/>
    <s v="_Yes"/>
    <m/>
    <s v="COMPANY 001"/>
    <x v="0"/>
    <x v="0"/>
    <x v="6"/>
    <x v="6"/>
    <s v="IV"/>
    <s v="PERSON 095"/>
    <x v="0"/>
    <s v="INITIATIVE 01835"/>
    <s v="W99"/>
    <s v="6.2 Projects - Dummy - W99"/>
    <n v="2279119.3110179999"/>
    <n v="1842098.3446859999"/>
    <n v="-11306863.376576999"/>
    <n v="4198597.5355559997"/>
    <m/>
    <m/>
    <m/>
    <m/>
    <m/>
    <m/>
    <m/>
    <m/>
  </r>
  <r>
    <n v="52897.09"/>
    <s v="_Yes"/>
    <m/>
    <s v="COMPANY 001"/>
    <x v="0"/>
    <x v="0"/>
    <x v="7"/>
    <x v="7"/>
    <s v="IV"/>
    <s v="PERSON 095"/>
    <x v="0"/>
    <s v="INITIATIVE 01835"/>
    <s v="W99"/>
    <s v="6.2 Projects - Dummy - W99"/>
    <n v="8048.7"/>
    <n v="1463.4"/>
    <n v="24490.123389"/>
    <n v="4702.5773639999998"/>
    <m/>
    <m/>
    <m/>
    <m/>
    <m/>
    <m/>
    <m/>
    <m/>
  </r>
  <r>
    <n v="4111458.59"/>
    <s v="_Yes"/>
    <m/>
    <s v="COMPANY 001"/>
    <x v="0"/>
    <x v="0"/>
    <x v="8"/>
    <x v="7"/>
    <s v="IV"/>
    <s v="PERSON 095"/>
    <x v="0"/>
    <s v="INITIATIVE 01835"/>
    <s v="W99"/>
    <s v="6.2 Projects - Dummy - W99"/>
    <n v="0"/>
    <n v="0"/>
    <n v="3008354.2503030002"/>
    <n v="0"/>
    <m/>
    <m/>
    <m/>
    <m/>
    <m/>
    <m/>
    <m/>
    <m/>
  </r>
  <r>
    <n v="1071733.5"/>
    <s v="_Yes"/>
    <m/>
    <s v="COMPANY 001"/>
    <x v="0"/>
    <x v="0"/>
    <x v="9"/>
    <x v="8"/>
    <s v="IV"/>
    <s v="PERSON 095"/>
    <x v="0"/>
    <s v="INITIATIVE 01835"/>
    <s v="W99"/>
    <s v="6.2 Projects - Dummy - W99"/>
    <n v="732.768282"/>
    <n v="593.75259900000003"/>
    <n v="781656.10775099997"/>
    <n v="1204.773318"/>
    <m/>
    <m/>
    <m/>
    <m/>
    <m/>
    <m/>
    <m/>
    <m/>
  </r>
  <r>
    <n v="-12094"/>
    <s v="_Yes"/>
    <m/>
    <s v="COMPANY 001"/>
    <x v="0"/>
    <x v="0"/>
    <x v="10"/>
    <x v="9"/>
    <s v="IV"/>
    <s v="PERSON 095"/>
    <x v="0"/>
    <s v="INITIATIVE 01835"/>
    <s v="W99"/>
    <s v="6.2 Projects - Dummy - W99"/>
    <n v="0"/>
    <n v="-8849.1797999999999"/>
    <n v="0"/>
    <n v="0"/>
    <m/>
    <m/>
    <m/>
    <m/>
    <m/>
    <m/>
    <m/>
    <m/>
  </r>
  <r>
    <n v="6325495"/>
    <s v="_Yes"/>
    <m/>
    <s v="COMPANY 001"/>
    <x v="0"/>
    <x v="0"/>
    <x v="11"/>
    <x v="10"/>
    <s v="IV"/>
    <s v="PERSON 095"/>
    <x v="0"/>
    <s v="INITIATIVE 01835"/>
    <s v="W99"/>
    <s v="6.2 Projects - Dummy - W99"/>
    <n v="557319.06090000004"/>
    <n v="1277045.5220999999"/>
    <n v="1277045.5220999999"/>
    <n v="1516954.5863999999"/>
    <m/>
    <m/>
    <m/>
    <m/>
    <m/>
    <m/>
    <m/>
    <m/>
  </r>
  <r>
    <n v="10769281.02"/>
    <s v="_Yes"/>
    <m/>
    <s v="COMPANY 001"/>
    <x v="0"/>
    <x v="0"/>
    <x v="12"/>
    <x v="6"/>
    <s v="IV"/>
    <s v="PERSON 095"/>
    <x v="0"/>
    <s v="INITIATIVE 01835"/>
    <s v="W99"/>
    <s v="6.2 Projects - Dummy - W99"/>
    <n v="0"/>
    <n v="0"/>
    <n v="9564617.2479929999"/>
    <n v="-1684734.3256590001"/>
    <m/>
    <m/>
    <m/>
    <m/>
    <m/>
    <m/>
    <m/>
    <m/>
  </r>
  <r>
    <n v="11873.44"/>
    <s v="_Yes"/>
    <m/>
    <s v="COMPANY 001"/>
    <x v="1"/>
    <x v="1"/>
    <x v="13"/>
    <x v="1"/>
    <s v="IV"/>
    <s v="PERSON 016"/>
    <x v="1"/>
    <s v="INITIATIVE 01837"/>
    <s v="W99"/>
    <s v="6.2 Projects - Dummy - W99"/>
    <n v="501.59498400000001"/>
    <n v="1152.251892"/>
    <n v="5871.2266529999997"/>
    <n v="1162.7225189999999"/>
    <m/>
    <m/>
    <m/>
    <m/>
    <m/>
    <m/>
    <m/>
    <m/>
  </r>
  <r>
    <n v="25765.39"/>
    <s v="_Yes"/>
    <m/>
    <s v="COMPANY 001"/>
    <x v="1"/>
    <x v="1"/>
    <x v="14"/>
    <x v="2"/>
    <s v="IV"/>
    <s v="PERSON 016"/>
    <x v="1"/>
    <s v="INITIATIVE 01837"/>
    <s v="W99"/>
    <s v="6.2 Projects - Dummy - W99"/>
    <n v="4404.2486399999998"/>
    <n v="5122.3975559999999"/>
    <n v="5242.7841570000001"/>
    <n v="4083.1055099999999"/>
    <m/>
    <m/>
    <m/>
    <m/>
    <m/>
    <m/>
    <m/>
    <m/>
  </r>
  <r>
    <n v="43055.39"/>
    <s v="_Yes"/>
    <m/>
    <s v="COMPANY 001"/>
    <x v="1"/>
    <x v="1"/>
    <x v="15"/>
    <x v="3"/>
    <s v="IV"/>
    <s v="PERSON 016"/>
    <x v="1"/>
    <s v="INITIATIVE 01837"/>
    <s v="W99"/>
    <s v="6.2 Projects - Dummy - W99"/>
    <n v="7317.3658500000001"/>
    <n v="6243.7351230000004"/>
    <n v="7459.6449149999999"/>
    <n v="10482.882975"/>
    <m/>
    <m/>
    <m/>
    <m/>
    <m/>
    <m/>
    <m/>
    <m/>
  </r>
  <r>
    <n v="327300.04999999987"/>
    <s v="_Yes"/>
    <m/>
    <s v="COMPANY 001"/>
    <x v="1"/>
    <x v="1"/>
    <x v="16"/>
    <x v="5"/>
    <s v="IV"/>
    <s v="PERSON 016"/>
    <x v="1"/>
    <s v="INITIATIVE 01837"/>
    <s v="W99"/>
    <s v="6.2 Projects - Dummy - W99"/>
    <n v="88066.277864999996"/>
    <n v="55671.687180000001"/>
    <n v="59284.792512"/>
    <n v="36462.689028000001"/>
    <m/>
    <m/>
    <m/>
    <m/>
    <m/>
    <m/>
    <m/>
    <m/>
  </r>
  <r>
    <n v="31398.400000000001"/>
    <s v="_Yes"/>
    <m/>
    <s v="COMPANY 001"/>
    <x v="1"/>
    <x v="1"/>
    <x v="17"/>
    <x v="7"/>
    <s v="IV"/>
    <s v="PERSON 016"/>
    <x v="1"/>
    <s v="INITIATIVE 01837"/>
    <s v="W99"/>
    <s v="6.2 Projects - Dummy - W99"/>
    <n v="22974.209279999999"/>
    <n v="0"/>
    <n v="0"/>
    <n v="0"/>
    <m/>
    <m/>
    <m/>
    <m/>
    <m/>
    <m/>
    <m/>
    <m/>
  </r>
  <r>
    <n v="-66658.8"/>
    <s v="_Yes"/>
    <m/>
    <s v="COMPANY 001"/>
    <x v="2"/>
    <x v="2"/>
    <x v="18"/>
    <x v="11"/>
    <s v="IV"/>
    <s v="PERSON 115"/>
    <x v="2"/>
    <s v="INITIATIVE 01912"/>
    <s v="AAA"/>
    <s v="Asset Health (Baseline) GT1 Carry Over"/>
    <n v="8751.292974"/>
    <n v="1065.9844619999999"/>
    <n v="-58591.521395999996"/>
    <n v="0"/>
    <m/>
    <m/>
    <m/>
    <m/>
    <m/>
    <m/>
    <m/>
    <m/>
  </r>
  <r>
    <n v="-26413.59"/>
    <s v="_Yes"/>
    <m/>
    <s v="COMPANY 001"/>
    <x v="2"/>
    <x v="2"/>
    <x v="19"/>
    <x v="12"/>
    <s v="IV"/>
    <s v="PERSON 115"/>
    <x v="2"/>
    <s v="INITIATIVE 01912"/>
    <s v="AAA"/>
    <s v="Asset Health (Baseline) GT1 Carry Over"/>
    <n v="0"/>
    <n v="0"/>
    <n v="-19326.823802999999"/>
    <n v="0"/>
    <m/>
    <m/>
    <m/>
    <m/>
    <m/>
    <m/>
    <m/>
    <m/>
  </r>
  <r>
    <n v="-243120"/>
    <s v="_Yes"/>
    <m/>
    <s v="COMPANY 001"/>
    <x v="2"/>
    <x v="2"/>
    <x v="20"/>
    <x v="6"/>
    <s v="IV"/>
    <s v="PERSON 115"/>
    <x v="2"/>
    <s v="INITIATIVE 01912"/>
    <s v="AAA"/>
    <s v="Asset Health (Baseline) GT1 Carry Over"/>
    <n v="0"/>
    <n v="0"/>
    <n v="-177890.90400000001"/>
    <n v="0"/>
    <m/>
    <m/>
    <m/>
    <m/>
    <m/>
    <m/>
    <m/>
    <m/>
  </r>
  <r>
    <n v="5142.2699999999968"/>
    <s v="_Yes"/>
    <m/>
    <s v="COMPANY 001"/>
    <x v="2"/>
    <x v="2"/>
    <x v="21"/>
    <x v="13"/>
    <s v="IV"/>
    <s v="PERSON 115"/>
    <x v="2"/>
    <s v="INITIATIVE 01912"/>
    <s v="AAA"/>
    <s v="Asset Health (Baseline) GT1 Carry Over"/>
    <n v="0"/>
    <n v="43211.684952000003"/>
    <n v="-39449.085993000001"/>
    <n v="0"/>
    <m/>
    <m/>
    <m/>
    <m/>
    <m/>
    <m/>
    <m/>
    <m/>
  </r>
  <r>
    <n v="8035"/>
    <s v="_Yes"/>
    <m/>
    <s v="COMPANY 001"/>
    <x v="2"/>
    <x v="2"/>
    <x v="22"/>
    <x v="6"/>
    <s v="IV"/>
    <s v="PERSON 115"/>
    <x v="2"/>
    <s v="INITIATIVE 01912"/>
    <s v="AAA"/>
    <s v="Asset Health (Baseline) GT1 Carry Over"/>
    <n v="5879.2094999999999"/>
    <n v="0"/>
    <n v="0"/>
    <n v="0"/>
    <m/>
    <m/>
    <m/>
    <m/>
    <m/>
    <m/>
    <m/>
    <m/>
  </r>
  <r>
    <n v="-18371.73"/>
    <s v="_Yes"/>
    <m/>
    <s v="COMPANY 001"/>
    <x v="3"/>
    <x v="3"/>
    <x v="23"/>
    <x v="0"/>
    <s v="IV"/>
    <s v="PERSON 092"/>
    <x v="3"/>
    <s v="INITIATIVE 01838"/>
    <s v="QQQ"/>
    <s v="GT CAPEX dummy code pending correct activity code assignment"/>
    <n v="5754.498552"/>
    <n v="-6944.1403140000002"/>
    <n v="-1861.5765060000001"/>
    <n v="-10391.376573"/>
    <m/>
    <m/>
    <m/>
    <m/>
    <m/>
    <m/>
    <m/>
    <m/>
  </r>
  <r>
    <n v="142345.95000000001"/>
    <s v="_Yes"/>
    <m/>
    <s v="COMPANY 001"/>
    <x v="3"/>
    <x v="3"/>
    <x v="24"/>
    <x v="11"/>
    <s v="IV"/>
    <s v="PERSON 092"/>
    <x v="3"/>
    <s v="INITIATIVE 01838"/>
    <s v="QQQ"/>
    <s v="GT CAPEX dummy code pending correct activity code assignment"/>
    <n v="29757.265839"/>
    <n v="22273.855307999998"/>
    <n v="20374.362108000001"/>
    <n v="31749.048360000001"/>
    <m/>
    <m/>
    <m/>
    <m/>
    <m/>
    <m/>
    <m/>
    <m/>
  </r>
  <r>
    <n v="16468.05"/>
    <s v="_Yes"/>
    <m/>
    <s v="COMPANY 001"/>
    <x v="3"/>
    <x v="3"/>
    <x v="25"/>
    <x v="1"/>
    <s v="IV"/>
    <s v="PERSON 092"/>
    <x v="3"/>
    <s v="INITIATIVE 01838"/>
    <s v="QQQ"/>
    <s v="GT CAPEX dummy code pending correct activity code assignment"/>
    <n v="803.36269800000002"/>
    <n v="1751.9312609999999"/>
    <n v="3963.2969520000001"/>
    <n v="5531.0812740000001"/>
    <m/>
    <m/>
    <m/>
    <m/>
    <m/>
    <m/>
    <m/>
    <m/>
  </r>
  <r>
    <n v="250984.34"/>
    <s v="_Yes"/>
    <m/>
    <s v="COMPANY 001"/>
    <x v="3"/>
    <x v="3"/>
    <x v="26"/>
    <x v="12"/>
    <s v="IV"/>
    <s v="PERSON 092"/>
    <x v="3"/>
    <s v="INITIATIVE 01838"/>
    <s v="QQQ"/>
    <s v="GT CAPEX dummy code pending correct activity code assignment"/>
    <n v="62851.771476000002"/>
    <n v="141136.01789399999"/>
    <n v="-57085.324263000002"/>
    <n v="36742.776470999997"/>
    <m/>
    <m/>
    <m/>
    <m/>
    <m/>
    <m/>
    <m/>
    <m/>
  </r>
  <r>
    <n v="374810.87"/>
    <s v="_Yes"/>
    <m/>
    <s v="COMPANY 001"/>
    <x v="3"/>
    <x v="3"/>
    <x v="27"/>
    <x v="3"/>
    <s v="IV"/>
    <s v="PERSON 092"/>
    <x v="3"/>
    <s v="INITIATIVE 01838"/>
    <s v="QQQ"/>
    <s v="GT CAPEX dummy code pending correct activity code assignment"/>
    <n v="38553.236414999999"/>
    <n v="72348.425289000006"/>
    <n v="57368.645819999998"/>
    <n v="105978.80605499999"/>
    <m/>
    <m/>
    <m/>
    <m/>
    <m/>
    <m/>
    <m/>
    <m/>
  </r>
  <r>
    <n v="1663.75"/>
    <s v="_Yes"/>
    <m/>
    <s v="COMPANY 001"/>
    <x v="3"/>
    <x v="3"/>
    <x v="28"/>
    <x v="14"/>
    <s v="IV"/>
    <s v="PERSON 092"/>
    <x v="3"/>
    <s v="INITIATIVE 01838"/>
    <s v="QQQ"/>
    <s v="GT CAPEX dummy code pending correct activity code assignment"/>
    <n v="459.939303"/>
    <n v="335.813715"/>
    <n v="421.61285700000002"/>
    <n v="0"/>
    <m/>
    <m/>
    <m/>
    <m/>
    <m/>
    <m/>
    <m/>
    <m/>
  </r>
  <r>
    <n v="3623"/>
    <s v="_Yes"/>
    <m/>
    <s v="COMPANY 001"/>
    <x v="3"/>
    <x v="3"/>
    <x v="29"/>
    <x v="15"/>
    <s v="IV"/>
    <s v="PERSON 092"/>
    <x v="3"/>
    <s v="INITIATIVE 01838"/>
    <s v="QQQ"/>
    <s v="GT CAPEX dummy code pending correct activity code assignment"/>
    <n v="0"/>
    <n v="1553.3991000000001"/>
    <n v="1097.55"/>
    <n v="0"/>
    <m/>
    <m/>
    <m/>
    <m/>
    <m/>
    <m/>
    <m/>
    <m/>
  </r>
  <r>
    <n v="-16425"/>
    <s v="_Yes"/>
    <m/>
    <s v="COMPANY 001"/>
    <x v="3"/>
    <x v="3"/>
    <x v="30"/>
    <x v="16"/>
    <s v="IV"/>
    <s v="PERSON 092"/>
    <x v="3"/>
    <s v="INITIATIVE 01838"/>
    <s v="QQQ"/>
    <s v="GT CAPEX dummy code pending correct activity code assignment"/>
    <n v="0"/>
    <n v="-12018.172500000001"/>
    <n v="0"/>
    <n v="0"/>
    <m/>
    <m/>
    <m/>
    <m/>
    <m/>
    <m/>
    <m/>
    <m/>
  </r>
  <r>
    <n v="12962.76"/>
    <s v="_Yes"/>
    <m/>
    <s v="COMPANY 001"/>
    <x v="3"/>
    <x v="3"/>
    <x v="31"/>
    <x v="4"/>
    <s v="IV"/>
    <s v="PERSON 092"/>
    <x v="3"/>
    <s v="INITIATIVE 01838"/>
    <s v="QQQ"/>
    <s v="GT CAPEX dummy code pending correct activity code assignment"/>
    <n v="2073.4182900000001"/>
    <n v="4484.633202"/>
    <n v="1463.4"/>
    <n v="1463.4"/>
    <m/>
    <m/>
    <m/>
    <m/>
    <m/>
    <m/>
    <m/>
    <m/>
  </r>
  <r>
    <n v="55521.780000000013"/>
    <s v="_Yes"/>
    <m/>
    <s v="COMPANY 001"/>
    <x v="3"/>
    <x v="3"/>
    <x v="32"/>
    <x v="17"/>
    <s v="IV"/>
    <s v="PERSON 092"/>
    <x v="3"/>
    <s v="INITIATIVE 01838"/>
    <s v="QQQ"/>
    <s v="GT CAPEX dummy code pending correct activity code assignment"/>
    <n v="4352.8833000000004"/>
    <n v="27460.627830000001"/>
    <n v="4265.8768529999998"/>
    <n v="4545.898443"/>
    <m/>
    <m/>
    <m/>
    <m/>
    <m/>
    <m/>
    <m/>
    <m/>
  </r>
  <r>
    <n v="63004"/>
    <s v="_Yes"/>
    <m/>
    <s v="COMPANY 001"/>
    <x v="3"/>
    <x v="3"/>
    <x v="33"/>
    <x v="5"/>
    <s v="IV"/>
    <s v="PERSON 092"/>
    <x v="3"/>
    <s v="INITIATIVE 01838"/>
    <s v="QQQ"/>
    <s v="GT CAPEX dummy code pending correct activity code assignment"/>
    <n v="46100.0268"/>
    <n v="0"/>
    <n v="0"/>
    <n v="0"/>
    <m/>
    <m/>
    <m/>
    <m/>
    <m/>
    <m/>
    <m/>
    <m/>
  </r>
  <r>
    <n v="5188858.32"/>
    <s v="_Yes"/>
    <m/>
    <s v="COMPANY 001"/>
    <x v="3"/>
    <x v="3"/>
    <x v="34"/>
    <x v="7"/>
    <s v="IV"/>
    <s v="PERSON 092"/>
    <x v="3"/>
    <s v="INITIATIVE 01838"/>
    <s v="QQQ"/>
    <s v="GT CAPEX dummy code pending correct activity code assignment"/>
    <n v="517071.35362499999"/>
    <n v="1478494.4661270001"/>
    <n v="776033.68836599996"/>
    <n v="1025088.1246259999"/>
    <m/>
    <m/>
    <m/>
    <m/>
    <m/>
    <m/>
    <m/>
    <m/>
  </r>
  <r>
    <n v="169824.58"/>
    <s v="_Yes"/>
    <m/>
    <s v="COMPANY 001"/>
    <x v="3"/>
    <x v="3"/>
    <x v="35"/>
    <x v="9"/>
    <s v="IV"/>
    <s v="PERSON 092"/>
    <x v="3"/>
    <s v="INITIATIVE 01838"/>
    <s v="QQQ"/>
    <s v="GT CAPEX dummy code pending correct activity code assignment"/>
    <n v="7020.8224739999996"/>
    <n v="49017.409821000001"/>
    <n v="15350.970879"/>
    <n v="52871.442012"/>
    <m/>
    <m/>
    <m/>
    <m/>
    <m/>
    <m/>
    <m/>
    <m/>
  </r>
  <r>
    <n v="3449.52"/>
    <s v="_Yes"/>
    <m/>
    <s v="COMPANY 001"/>
    <x v="3"/>
    <x v="3"/>
    <x v="36"/>
    <x v="18"/>
    <s v="IV"/>
    <s v="PERSON 092"/>
    <x v="3"/>
    <s v="INITIATIVE 01838"/>
    <s v="QQQ"/>
    <s v="GT CAPEX dummy code pending correct activity code assignment"/>
    <n v="631.00344600000005"/>
    <n v="631.00344600000005"/>
    <n v="631.00344600000005"/>
    <n v="631.00344600000005"/>
    <m/>
    <m/>
    <m/>
    <m/>
    <m/>
    <m/>
    <m/>
    <m/>
  </r>
  <r>
    <n v="1083.1600000000001"/>
    <s v="_Yes"/>
    <m/>
    <s v="COMPANY 001"/>
    <x v="3"/>
    <x v="3"/>
    <x v="37"/>
    <x v="19"/>
    <s v="IV"/>
    <s v="PERSON 092"/>
    <x v="3"/>
    <s v="INITIATIVE 01838"/>
    <s v="QQQ"/>
    <s v="GT CAPEX dummy code pending correct activity code assignment"/>
    <n v="0"/>
    <n v="0"/>
    <n v="0"/>
    <n v="792.54817200000002"/>
    <m/>
    <m/>
    <m/>
    <m/>
    <m/>
    <m/>
    <m/>
    <m/>
  </r>
  <r>
    <n v="4164"/>
    <s v="_Yes"/>
    <m/>
    <s v="COMPANY 001"/>
    <x v="3"/>
    <x v="3"/>
    <x v="38"/>
    <x v="13"/>
    <s v="IV"/>
    <s v="PERSON 092"/>
    <x v="3"/>
    <s v="INITIATIVE 01838"/>
    <s v="QQQ"/>
    <s v="GT CAPEX dummy code pending correct activity code assignment"/>
    <n v="0"/>
    <n v="-8187.723"/>
    <n v="0"/>
    <n v="11234.5218"/>
    <m/>
    <m/>
    <m/>
    <m/>
    <m/>
    <m/>
    <m/>
    <m/>
  </r>
  <r>
    <n v="1241807.42"/>
    <s v="_Yes"/>
    <m/>
    <s v="COMPANY 001"/>
    <x v="3"/>
    <x v="3"/>
    <x v="39"/>
    <x v="10"/>
    <s v="IV"/>
    <s v="PERSON 092"/>
    <x v="3"/>
    <s v="INITIATIVE 01838"/>
    <s v="QQQ"/>
    <s v="GT CAPEX dummy code pending correct activity code assignment"/>
    <n v="82602.769086"/>
    <n v="165205.54548900001"/>
    <n v="413013.86006400001"/>
    <n v="247808.314575"/>
    <m/>
    <m/>
    <m/>
    <m/>
    <m/>
    <m/>
    <m/>
    <m/>
  </r>
  <r>
    <n v="-469280.61"/>
    <s v="_Yes"/>
    <m/>
    <s v="COMPANY 001"/>
    <x v="3"/>
    <x v="3"/>
    <x v="40"/>
    <x v="6"/>
    <s v="IV"/>
    <s v="PERSON 092"/>
    <x v="3"/>
    <s v="INITIATIVE 01838"/>
    <s v="QQQ"/>
    <s v="GT CAPEX dummy code pending correct activity code assignment"/>
    <n v="0"/>
    <n v="-343372.62233699998"/>
    <n v="0"/>
    <n v="0"/>
    <m/>
    <m/>
    <m/>
    <m/>
    <m/>
    <m/>
    <m/>
    <m/>
  </r>
  <r>
    <n v="21166.93"/>
    <s v="_Yes"/>
    <m/>
    <s v="COMPANY 001"/>
    <x v="4"/>
    <x v="4"/>
    <x v="41"/>
    <x v="11"/>
    <s v="IV"/>
    <s v="PERSON 016"/>
    <x v="4"/>
    <s v="INITIATIVE 01975"/>
    <s v="QQQ"/>
    <s v="GT CAPEX dummy code pending correct activity code assignment"/>
    <n v="5091.2051849999998"/>
    <n v="3128.3101799999999"/>
    <n v="3563.7814349999999"/>
    <n v="3704.545881"/>
    <m/>
    <m/>
    <m/>
    <m/>
    <m/>
    <m/>
    <m/>
    <m/>
  </r>
  <r>
    <n v="8391.65"/>
    <s v="_Yes"/>
    <m/>
    <s v="COMPANY 001"/>
    <x v="4"/>
    <x v="4"/>
    <x v="42"/>
    <x v="12"/>
    <s v="IV"/>
    <s v="PERSON 016"/>
    <x v="4"/>
    <s v="INITIATIVE 01975"/>
    <s v="QQQ"/>
    <s v="GT CAPEX dummy code pending correct activity code assignment"/>
    <n v="2195.1"/>
    <n v="2195.1"/>
    <n v="477.42693300000002"/>
    <n v="1272.5433720000001"/>
    <m/>
    <m/>
    <m/>
    <m/>
    <m/>
    <m/>
    <m/>
    <m/>
  </r>
  <r>
    <n v="3917.53"/>
    <s v="_Yes"/>
    <m/>
    <s v="COMPANY 001"/>
    <x v="4"/>
    <x v="4"/>
    <x v="43"/>
    <x v="3"/>
    <s v="IV"/>
    <s v="PERSON 016"/>
    <x v="4"/>
    <s v="INITIATIVE 01975"/>
    <s v="QQQ"/>
    <s v="GT CAPEX dummy code pending correct activity code assignment"/>
    <n v="424.18112400000001"/>
    <n v="477.42693300000002"/>
    <n v="1272.5433720000001"/>
    <n v="692.30527199999995"/>
    <m/>
    <m/>
    <m/>
    <m/>
    <m/>
    <m/>
    <m/>
    <m/>
  </r>
  <r>
    <n v="351635.88"/>
    <s v="_Yes"/>
    <m/>
    <s v="COMPANY 001"/>
    <x v="4"/>
    <x v="4"/>
    <x v="44"/>
    <x v="7"/>
    <s v="IV"/>
    <s v="PERSON 016"/>
    <x v="4"/>
    <s v="INITIATIVE 01975"/>
    <s v="QQQ"/>
    <s v="GT CAPEX dummy code pending correct activity code assignment"/>
    <n v="182986.66767600001"/>
    <n v="13023.689274"/>
    <n v="35065.917630000004"/>
    <n v="26215.698816"/>
    <m/>
    <m/>
    <m/>
    <m/>
    <m/>
    <m/>
    <m/>
    <m/>
  </r>
  <r>
    <n v="-125337.75"/>
    <s v="_Yes"/>
    <m/>
    <s v="COMPANY 001"/>
    <x v="4"/>
    <x v="4"/>
    <x v="45"/>
    <x v="20"/>
    <s v="IV"/>
    <s v="PERSON 016"/>
    <x v="4"/>
    <s v="INITIATIVE 01975"/>
    <s v="QQQ"/>
    <s v="GT CAPEX dummy code pending correct activity code assignment"/>
    <n v="-91709.631674999997"/>
    <n v="0"/>
    <n v="0"/>
    <n v="0"/>
    <m/>
    <m/>
    <m/>
    <m/>
    <m/>
    <m/>
    <m/>
    <m/>
  </r>
  <r>
    <n v="27023.08"/>
    <s v="_Yes"/>
    <m/>
    <s v="COMPANY 001"/>
    <x v="5"/>
    <x v="5"/>
    <x v="46"/>
    <x v="11"/>
    <s v="IV"/>
    <s v="PERSON 115"/>
    <x v="5"/>
    <s v="TEMPLATE"/>
    <s v="NBM"/>
    <s v="IED-MCP-Baseline"/>
    <n v="2717.9874540000001"/>
    <n v="6833.214594"/>
    <n v="9987.6976830000003"/>
    <n v="233.88790499999999"/>
    <m/>
    <m/>
    <m/>
    <m/>
    <m/>
    <m/>
    <m/>
    <m/>
  </r>
  <r>
    <n v="20528.39"/>
    <s v="_Yes"/>
    <m/>
    <s v="COMPANY 001"/>
    <x v="5"/>
    <x v="5"/>
    <x v="47"/>
    <x v="1"/>
    <s v="IV"/>
    <s v="PERSON 115"/>
    <x v="5"/>
    <s v="TEMPLATE"/>
    <s v="NBM"/>
    <s v="IED-MCP-Baseline"/>
    <n v="1701.853713"/>
    <n v="1397.305539"/>
    <n v="2661.6319199999998"/>
    <n v="9259.8317910000005"/>
    <m/>
    <m/>
    <m/>
    <m/>
    <m/>
    <m/>
    <m/>
    <m/>
  </r>
  <r>
    <n v="7700"/>
    <s v="_Yes"/>
    <m/>
    <s v="COMPANY 001"/>
    <x v="5"/>
    <x v="5"/>
    <x v="48"/>
    <x v="12"/>
    <s v="IV"/>
    <s v="PERSON 115"/>
    <x v="5"/>
    <s v="TEMPLATE"/>
    <s v="NBM"/>
    <s v="IED-MCP-Baseline"/>
    <n v="0"/>
    <n v="7317"/>
    <n v="-7317"/>
    <n v="5634.09"/>
    <m/>
    <m/>
    <m/>
    <m/>
    <m/>
    <m/>
    <m/>
    <m/>
  </r>
  <r>
    <n v="25411.200000000001"/>
    <s v="_Yes"/>
    <m/>
    <s v="COMPANY 001"/>
    <x v="5"/>
    <x v="5"/>
    <x v="49"/>
    <x v="3"/>
    <s v="IV"/>
    <s v="PERSON 115"/>
    <x v="5"/>
    <s v="TEMPLATE"/>
    <s v="NBM"/>
    <s v="IED-MCP-Baseline"/>
    <n v="5148.6875369999998"/>
    <n v="4629.1073669999996"/>
    <n v="8892.8988750000008"/>
    <n v="-77.318738999999994"/>
    <m/>
    <m/>
    <m/>
    <m/>
    <m/>
    <m/>
    <m/>
    <m/>
  </r>
  <r>
    <n v="13350.94"/>
    <s v="_Yes"/>
    <m/>
    <s v="COMPANY 001"/>
    <x v="5"/>
    <x v="5"/>
    <x v="50"/>
    <x v="14"/>
    <s v="IV"/>
    <s v="PERSON 115"/>
    <x v="5"/>
    <s v="TEMPLATE"/>
    <s v="NBM"/>
    <s v="IED-MCP-Baseline"/>
    <n v="2798.0354339999999"/>
    <n v="2558.7988019999998"/>
    <n v="4412.0485619999999"/>
    <n v="0"/>
    <m/>
    <m/>
    <m/>
    <m/>
    <m/>
    <m/>
    <m/>
    <m/>
  </r>
  <r>
    <n v="32618.68"/>
    <s v="_Yes"/>
    <m/>
    <s v="COMPANY 001"/>
    <x v="5"/>
    <x v="5"/>
    <x v="51"/>
    <x v="7"/>
    <s v="IV"/>
    <s v="PERSON 115"/>
    <x v="5"/>
    <s v="TEMPLATE"/>
    <s v="NBM"/>
    <s v="IED-MCP-Baseline"/>
    <n v="23867.088156000002"/>
    <n v="0"/>
    <n v="0"/>
    <n v="0"/>
    <m/>
    <m/>
    <m/>
    <m/>
    <m/>
    <m/>
    <m/>
    <m/>
  </r>
  <r>
    <n v="54483"/>
    <s v="_Yes"/>
    <m/>
    <s v="COMPANY 001"/>
    <x v="5"/>
    <x v="5"/>
    <x v="52"/>
    <x v="6"/>
    <s v="IV"/>
    <s v="PERSON 115"/>
    <x v="5"/>
    <s v="TEMPLATE"/>
    <s v="NBM"/>
    <s v="IED-MCP-Baseline"/>
    <n v="0"/>
    <n v="0"/>
    <n v="0"/>
    <n v="39865.2111"/>
    <m/>
    <m/>
    <m/>
    <m/>
    <m/>
    <m/>
    <m/>
    <m/>
  </r>
  <r>
    <n v="50818.97"/>
    <s v="_Yes"/>
    <m/>
    <s v="COMPANY 001"/>
    <x v="6"/>
    <x v="6"/>
    <x v="53"/>
    <x v="11"/>
    <s v="IV"/>
    <s v="PERSON 129"/>
    <x v="6"/>
    <s v="INITIATIVE 02017"/>
    <s v="NBM"/>
    <s v="IED-MCP-Baseline"/>
    <n v="6207.0623189999997"/>
    <n v="8697.476439"/>
    <n v="12101.36679"/>
    <n v="10178.334801000001"/>
    <m/>
    <m/>
    <m/>
    <m/>
    <m/>
    <m/>
    <m/>
    <m/>
  </r>
  <r>
    <n v="977.62999999999988"/>
    <s v="_Yes"/>
    <m/>
    <s v="COMPANY 001"/>
    <x v="6"/>
    <x v="6"/>
    <x v="54"/>
    <x v="1"/>
    <s v="IV"/>
    <s v="PERSON 129"/>
    <x v="6"/>
    <s v="INITIATIVE 02017"/>
    <s v="NBM"/>
    <s v="IED-MCP-Baseline"/>
    <n v="486.42684300000002"/>
    <n v="0"/>
    <n v="114.45251399999999"/>
    <n v="114.45251399999999"/>
    <m/>
    <m/>
    <m/>
    <m/>
    <m/>
    <m/>
    <m/>
    <m/>
  </r>
  <r>
    <n v="6329.7245069999999"/>
    <s v="_Yes"/>
    <m/>
    <s v="COMPANY 001"/>
    <x v="6"/>
    <x v="6"/>
    <x v="55"/>
    <x v="12"/>
    <s v="IV"/>
    <s v="PERSON 129"/>
    <x v="6"/>
    <s v="INITIATIVE 02017"/>
    <s v="NBM"/>
    <s v="IED-MCP-Baseline"/>
    <n v="0"/>
    <n v="0"/>
    <n v="603.65250000000003"/>
    <n v="5726.0720069999998"/>
    <m/>
    <m/>
    <m/>
    <m/>
    <m/>
    <m/>
    <m/>
    <m/>
  </r>
  <r>
    <n v="-7470.6716340000003"/>
    <s v="_Yes"/>
    <m/>
    <s v="COMPANY 001"/>
    <x v="6"/>
    <x v="6"/>
    <x v="56"/>
    <x v="3"/>
    <s v="IV"/>
    <s v="PERSON 129"/>
    <x v="6"/>
    <s v="INITIATIVE 02017"/>
    <s v="NBM"/>
    <s v="IED-MCP-Baseline"/>
    <n v="-6960.486492"/>
    <n v="-723.16837799999996"/>
    <n v="212.98323600000001"/>
    <n v="0"/>
    <m/>
    <m/>
    <m/>
    <m/>
    <m/>
    <m/>
    <m/>
    <m/>
  </r>
  <r>
    <n v="4139.7464069999996"/>
    <s v="_Yes"/>
    <m/>
    <s v="COMPANY 001"/>
    <x v="6"/>
    <x v="6"/>
    <x v="57"/>
    <x v="14"/>
    <s v="IV"/>
    <s v="PERSON 129"/>
    <x v="6"/>
    <s v="INITIATIVE 02017"/>
    <s v="NBM"/>
    <s v="IED-MCP-Baseline"/>
    <n v="581.60637899999995"/>
    <n v="514.099737"/>
    <n v="3044.0402909999998"/>
    <n v="0"/>
    <m/>
    <m/>
    <m/>
    <m/>
    <m/>
    <m/>
    <m/>
    <m/>
  </r>
  <r>
    <n v="99530.868095999991"/>
    <s v="_Yes"/>
    <m/>
    <s v="COMPANY 001"/>
    <x v="6"/>
    <x v="6"/>
    <x v="58"/>
    <x v="5"/>
    <s v="IV"/>
    <s v="PERSON 129"/>
    <x v="6"/>
    <s v="INITIATIVE 02017"/>
    <s v="NBM"/>
    <s v="IED-MCP-Baseline"/>
    <n v="0"/>
    <n v="0"/>
    <n v="35622.134018999997"/>
    <n v="63908.734077000001"/>
    <m/>
    <m/>
    <m/>
    <m/>
    <m/>
    <m/>
    <m/>
    <m/>
  </r>
  <r>
    <n v="23100.3"/>
    <s v="_Yes"/>
    <m/>
    <s v="COMPANY 001"/>
    <x v="7"/>
    <x v="7"/>
    <x v="59"/>
    <x v="1"/>
    <s v="IV"/>
    <s v="PERSON 158"/>
    <x v="7"/>
    <s v="TEMPLATE"/>
    <s v="AAA"/>
    <s v="Asset Health (Baseline) GT1 Carry Over"/>
    <n v="0"/>
    <n v="0"/>
    <n v="0"/>
    <n v="16902.489509999999"/>
    <m/>
    <m/>
    <m/>
    <m/>
    <m/>
    <m/>
    <m/>
    <m/>
  </r>
  <r>
    <n v="13253.42"/>
    <s v="_Yes"/>
    <m/>
    <s v="COMPANY 001"/>
    <x v="8"/>
    <x v="8"/>
    <x v="60"/>
    <x v="21"/>
    <s v="IV"/>
    <s v="PERSON 008"/>
    <x v="8"/>
    <s v="TEMPLATE"/>
    <s v="AAA"/>
    <s v="Asset Health (Baseline) GT1 Carry Over"/>
    <n v="0"/>
    <n v="2651.2929989999998"/>
    <n v="3314.118078"/>
    <n v="3732.1163369999999"/>
    <m/>
    <m/>
    <m/>
    <m/>
    <m/>
    <m/>
    <m/>
    <m/>
  </r>
  <r>
    <n v="17534.009999999998"/>
    <s v="_Yes"/>
    <m/>
    <s v="COMPANY 001"/>
    <x v="8"/>
    <x v="8"/>
    <x v="61"/>
    <x v="22"/>
    <s v="IV"/>
    <s v="PERSON 008"/>
    <x v="8"/>
    <s v="TEMPLATE"/>
    <s v="AAA"/>
    <s v="Asset Health (Baseline) GT1 Carry Over"/>
    <n v="0"/>
    <n v="0"/>
    <n v="10665.990900000001"/>
    <n v="2163.644217"/>
    <m/>
    <m/>
    <m/>
    <m/>
    <m/>
    <m/>
    <m/>
    <m/>
  </r>
  <r>
    <n v="0"/>
    <s v="_Yes"/>
    <m/>
    <s v="COMPANY 001"/>
    <x v="8"/>
    <x v="8"/>
    <x v="62"/>
    <x v="23"/>
    <s v="IV"/>
    <s v="PERSON 008"/>
    <x v="8"/>
    <s v="TEMPLATE"/>
    <s v="AAA"/>
    <s v="Asset Health (Baseline) GT1 Carry Over"/>
    <n v="0"/>
    <n v="0"/>
    <n v="11920.878350999999"/>
    <n v="-11920.878350999999"/>
    <m/>
    <m/>
    <m/>
    <m/>
    <m/>
    <m/>
    <m/>
    <m/>
  </r>
  <r>
    <n v="2181.2199999999998"/>
    <s v="_Yes"/>
    <m/>
    <s v="COMPANY 001"/>
    <x v="8"/>
    <x v="8"/>
    <x v="63"/>
    <x v="24"/>
    <s v="IV"/>
    <s v="PERSON 008"/>
    <x v="8"/>
    <s v="TEMPLATE"/>
    <s v="AAA"/>
    <s v="Asset Health (Baseline) GT1 Carry Over"/>
    <n v="0"/>
    <n v="0"/>
    <n v="298.57018499999998"/>
    <n v="1297.4284889999999"/>
    <m/>
    <m/>
    <m/>
    <m/>
    <m/>
    <m/>
    <m/>
    <m/>
  </r>
  <r>
    <n v="80000"/>
    <s v="_Yes"/>
    <m/>
    <s v="COMPANY 001"/>
    <x v="8"/>
    <x v="8"/>
    <x v="64"/>
    <x v="25"/>
    <s v="IV"/>
    <s v="PERSON 008"/>
    <x v="8"/>
    <s v="TEMPLATE"/>
    <s v="AAA"/>
    <s v="Asset Health (Baseline) GT1 Carry Over"/>
    <n v="0"/>
    <n v="0"/>
    <n v="0"/>
    <n v="58536"/>
    <m/>
    <m/>
    <m/>
    <m/>
    <m/>
    <m/>
    <m/>
    <m/>
  </r>
  <r>
    <n v="2216.61"/>
    <s v="_Yes"/>
    <m/>
    <s v="COMPANY 001"/>
    <x v="8"/>
    <x v="8"/>
    <x v="65"/>
    <x v="26"/>
    <s v="IV"/>
    <s v="PERSON 008"/>
    <x v="8"/>
    <s v="TEMPLATE"/>
    <s v="AAA"/>
    <s v="Asset Health (Baseline) GT1 Carry Over"/>
    <n v="0"/>
    <n v="0"/>
    <n v="0"/>
    <n v="1621.8935369999999"/>
    <m/>
    <m/>
    <m/>
    <m/>
    <m/>
    <m/>
    <m/>
    <m/>
  </r>
  <r>
    <n v="458.01"/>
    <s v="_Yes"/>
    <m/>
    <s v="COMPANY 001"/>
    <x v="9"/>
    <x v="9"/>
    <x v="66"/>
    <x v="23"/>
    <s v="IV"/>
    <s v="PERSON 055"/>
    <x v="9"/>
    <s v="INITIATIVE 02196"/>
    <s v="C11"/>
    <s v="A22.22.3.9 - Electric Drives - Harmonic Filter - Minor Refurb"/>
    <n v="0"/>
    <n v="0"/>
    <n v="396.31798800000001"/>
    <n v="-61.192070999999999"/>
    <m/>
    <m/>
    <m/>
    <m/>
    <m/>
    <m/>
    <m/>
    <m/>
  </r>
  <r>
    <m/>
    <m/>
    <m/>
    <m/>
    <x v="10"/>
    <x v="10"/>
    <x v="67"/>
    <x v="27"/>
    <m/>
    <m/>
    <x v="10"/>
    <m/>
    <m/>
    <m/>
    <m/>
    <m/>
    <m/>
    <m/>
    <m/>
    <m/>
    <m/>
    <m/>
    <m/>
    <m/>
    <m/>
    <m/>
  </r>
  <r>
    <m/>
    <m/>
    <m/>
    <m/>
    <x v="10"/>
    <x v="10"/>
    <x v="67"/>
    <x v="27"/>
    <m/>
    <m/>
    <x v="10"/>
    <m/>
    <m/>
    <m/>
    <m/>
    <m/>
    <m/>
    <m/>
    <m/>
    <m/>
    <m/>
    <m/>
    <m/>
    <m/>
    <m/>
    <m/>
  </r>
  <r>
    <m/>
    <m/>
    <m/>
    <m/>
    <x v="10"/>
    <x v="10"/>
    <x v="67"/>
    <x v="27"/>
    <m/>
    <m/>
    <x v="10"/>
    <m/>
    <m/>
    <m/>
    <m/>
    <m/>
    <m/>
    <m/>
    <m/>
    <m/>
    <m/>
    <m/>
    <m/>
    <m/>
    <m/>
    <m/>
  </r>
  <r>
    <m/>
    <m/>
    <m/>
    <m/>
    <x v="10"/>
    <x v="10"/>
    <x v="67"/>
    <x v="27"/>
    <m/>
    <m/>
    <x v="10"/>
    <m/>
    <m/>
    <m/>
    <m/>
    <m/>
    <m/>
    <m/>
    <m/>
    <m/>
    <m/>
    <m/>
    <m/>
    <m/>
    <m/>
    <m/>
  </r>
  <r>
    <m/>
    <m/>
    <m/>
    <m/>
    <x v="10"/>
    <x v="10"/>
    <x v="67"/>
    <x v="27"/>
    <m/>
    <m/>
    <x v="10"/>
    <m/>
    <m/>
    <m/>
    <m/>
    <m/>
    <m/>
    <m/>
    <m/>
    <m/>
    <m/>
    <m/>
    <m/>
    <m/>
    <m/>
    <m/>
  </r>
  <r>
    <m/>
    <m/>
    <m/>
    <m/>
    <x v="10"/>
    <x v="10"/>
    <x v="67"/>
    <x v="27"/>
    <m/>
    <m/>
    <x v="10"/>
    <m/>
    <m/>
    <m/>
    <m/>
    <m/>
    <m/>
    <m/>
    <m/>
    <m/>
    <m/>
    <m/>
    <m/>
    <m/>
    <m/>
    <m/>
  </r>
  <r>
    <m/>
    <m/>
    <m/>
    <m/>
    <x v="10"/>
    <x v="10"/>
    <x v="67"/>
    <x v="27"/>
    <m/>
    <m/>
    <x v="10"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x v="0"/>
    <s v="REGION 004 AND NORTH"/>
    <s v="LOCATION 0033"/>
    <x v="0"/>
    <x v="0"/>
    <n v="1"/>
    <s v="C-PROJECT 000169"/>
    <s v="23/24"/>
    <s v="Rotating Machinery"/>
    <s v="LOCATION 0033"/>
    <s v="SITE 00481"/>
    <s v="Baseline"/>
    <s v="Legislation"/>
    <x v="0"/>
    <x v="0"/>
    <n v="2652301.8537893998"/>
    <x v="0"/>
  </r>
  <r>
    <x v="1"/>
    <x v="1"/>
    <s v="REGION 004 AND NORTH"/>
    <s v="LOCATION 0444"/>
    <x v="1"/>
    <x v="0"/>
    <n v="1"/>
    <s v="C-PROJECT 000134"/>
    <s v="23/24"/>
    <s v="LOCATION 9001"/>
    <s v="LOCATION 0444"/>
    <s v="SITE 00382"/>
    <s v="Baseline"/>
    <s v="Defects"/>
    <x v="1"/>
    <x v="1"/>
    <n v="560121.32629170001"/>
    <x v="1"/>
  </r>
  <r>
    <x v="2"/>
    <x v="2"/>
    <s v="SITE 00554"/>
    <s v="LOCATION 0546"/>
    <x v="2"/>
    <x v="0"/>
    <n v="1"/>
    <s v="C-PROJECT 000172"/>
    <s v="23/24"/>
    <s v="Rotating Machinery"/>
    <s v="LOCATION 0546"/>
    <s v="SITE 00470"/>
    <s v="Baseline"/>
    <s v="Legislation"/>
    <x v="2"/>
    <x v="2"/>
    <n v="554520.11303610005"/>
    <x v="2"/>
  </r>
  <r>
    <x v="3"/>
    <x v="3"/>
    <s v="SITE 00554"/>
    <s v="LOCATION 0017"/>
    <x v="3"/>
    <x v="0"/>
    <n v="1"/>
    <s v="C-PROJECT 000173"/>
    <s v="23/24"/>
    <s v="Rotating Machinery"/>
    <s v="LOCATION 0017"/>
    <s v="SITE 00454"/>
    <s v="Baseline"/>
    <s v="Legislation"/>
    <x v="3"/>
    <x v="3"/>
    <n v="1371660.9737408999"/>
    <x v="2"/>
  </r>
  <r>
    <x v="4"/>
    <x v="4"/>
    <s v="SITE 00058"/>
    <s v="LOCATION 0123"/>
    <x v="4"/>
    <x v="0"/>
    <n v="1"/>
    <s v="C-PROJECT 000175"/>
    <s v="23/24"/>
    <s v="Rotating Machinery"/>
    <s v="LOCATION 0123"/>
    <s v="SITE 00460"/>
    <s v="Baseline"/>
    <s v="Legislation"/>
    <x v="0"/>
    <x v="0"/>
    <n v="231013.78300980001"/>
    <x v="3"/>
  </r>
  <r>
    <x v="5"/>
    <x v="5"/>
    <s v="SITE 00554"/>
    <s v="LOCATION 0308"/>
    <x v="5"/>
    <x v="0"/>
    <n v="1"/>
    <s v="C-PROJECT 000187"/>
    <s v="23/24"/>
    <s v="Valves"/>
    <s v="LOCATION 0308"/>
    <s v="SITE 00477"/>
    <s v="Baseline"/>
    <s v="Fixed Time Interval"/>
    <x v="0"/>
    <x v="0"/>
    <n v="98181.229885199995"/>
    <x v="4"/>
  </r>
  <r>
    <x v="6"/>
    <x v="6"/>
    <s v="SITE 00058"/>
    <s v="LOCATION 0282"/>
    <x v="6"/>
    <x v="0"/>
    <n v="1"/>
    <s v="C-PROJECT 000194"/>
    <s v="23/24"/>
    <s v="Compressor Fleet"/>
    <s v="LOCATION 0282"/>
    <s v="SITE 00456"/>
    <s v="RIIO T2 - UM"/>
    <m/>
    <x v="4"/>
    <x v="4"/>
    <s v="4.221PROJECT 0001493458E7"/>
    <x v="5"/>
  </r>
  <r>
    <x v="7"/>
    <x v="7"/>
    <s v="SITE 00058"/>
    <s v="LOCATION 0282"/>
    <x v="6"/>
    <x v="1"/>
    <n v="0"/>
    <s v="C-PROJECT 000194"/>
    <s v="18/19"/>
    <s v="Compressor Fleet"/>
    <s v="LOCATION 0282"/>
    <s v="SITE 00456"/>
    <s v="RIIO T2 - UM"/>
    <m/>
    <x v="5"/>
    <x v="5"/>
    <n v="0"/>
    <x v="6"/>
  </r>
  <r>
    <x v="8"/>
    <x v="8"/>
    <s v="SITE 00058"/>
    <s v="LOCATION 0282"/>
    <x v="6"/>
    <x v="1"/>
    <n v="0"/>
    <s v="C-PROJECT 000194"/>
    <s v="18/19"/>
    <s v="Compressor Fleet"/>
    <s v="LOCATION 0282"/>
    <s v="SITE 00456"/>
    <s v="RIIO T2 - UM"/>
    <m/>
    <x v="4"/>
    <x v="4"/>
    <n v="0"/>
    <x v="5"/>
  </r>
  <r>
    <x v="9"/>
    <x v="9"/>
    <s v="SITE 00058"/>
    <s v="LOCATION 0266"/>
    <x v="7"/>
    <x v="2"/>
    <n v="0"/>
    <s v="C-PROJECT 000197"/>
    <m/>
    <s v="Compressor Fleet"/>
    <s v="LOCATION 0266"/>
    <s v="SITE 00455"/>
    <s v="RIIO T2 - UM"/>
    <m/>
    <x v="0"/>
    <x v="0"/>
    <n v="0"/>
    <x v="7"/>
  </r>
  <r>
    <x v="10"/>
    <x v="10"/>
    <s v="SITE 00554"/>
    <s v="LOCATION 0017"/>
    <x v="8"/>
    <x v="0"/>
    <n v="1"/>
    <s v="C-PROJECT 000176"/>
    <s v="23/24"/>
    <s v="Rotating Machinery"/>
    <s v="LOCATION 0017"/>
    <s v="SITE 00454"/>
    <s v="Baseline"/>
    <s v="Defects"/>
    <x v="3"/>
    <x v="6"/>
    <n v="47843.925458400001"/>
    <x v="2"/>
  </r>
  <r>
    <x v="11"/>
    <x v="11"/>
    <s v="SITE 00058"/>
    <s v="LOCATION 0108"/>
    <x v="8"/>
    <x v="0"/>
    <n v="1"/>
    <s v="C-PROJECT 000176"/>
    <s v="23/24"/>
    <s v="Rotating Machinery"/>
    <s v="LOCATION 0108"/>
    <s v="SITE 00461"/>
    <s v="Baseline"/>
    <s v="Defects"/>
    <x v="6"/>
    <x v="7"/>
    <n v="47843.925458400001"/>
    <x v="8"/>
  </r>
  <r>
    <x v="12"/>
    <x v="12"/>
    <s v="SITE 00554"/>
    <s v="LOCATION 0546"/>
    <x v="9"/>
    <x v="0"/>
    <n v="1"/>
    <s v="C-PROJECT 000195"/>
    <s v="23/24"/>
    <s v="Compressor Fleet"/>
    <s v="LOCATION 0546"/>
    <s v="SITE 00470"/>
    <s v="RIIO T2 - UM"/>
    <m/>
    <x v="7"/>
    <x v="8"/>
    <s v="5.54197169PROJECT 00014E7"/>
    <x v="9"/>
  </r>
  <r>
    <x v="13"/>
    <x v="13"/>
    <s v="SITE 00554"/>
    <s v="LOCATION 0546"/>
    <x v="9"/>
    <x v="1"/>
    <n v="0"/>
    <s v="C-PROJECT 000195"/>
    <m/>
    <s v="Compressor Fleet"/>
    <s v="LOCATION 0546"/>
    <s v="SITE 00470"/>
    <s v="RIIO T2 - UM"/>
    <m/>
    <x v="8"/>
    <x v="5"/>
    <n v="0"/>
    <x v="10"/>
  </r>
  <r>
    <x v="14"/>
    <x v="14"/>
    <s v="REGION 004 AND NORTH"/>
    <s v="LOCATION 0033"/>
    <x v="10"/>
    <x v="0"/>
    <n v="1"/>
    <s v="C-333"/>
    <s v="23/24"/>
    <s v="Compressor Fleet"/>
    <s v="LOCATION 0033"/>
    <s v="SITE 00481"/>
    <s v="Baseline"/>
    <s v="Defects"/>
    <x v="0"/>
    <x v="0"/>
    <n v="2044410.0742313999"/>
    <x v="0"/>
  </r>
  <r>
    <x v="15"/>
    <x v="15"/>
    <s v="REGION 004 AND NORTH"/>
    <s v="LOCATION 0069"/>
    <x v="10"/>
    <x v="0"/>
    <n v="1"/>
    <s v="C-333"/>
    <s v="23/24"/>
    <s v="Compressor Fleet"/>
    <s v="LOCATION 0069"/>
    <s v="SITE 00462"/>
    <s v="Baseline"/>
    <s v="Defects"/>
    <x v="0"/>
    <x v="0"/>
    <n v="2044410.0742313999"/>
    <x v="0"/>
  </r>
  <r>
    <x v="16"/>
    <x v="16"/>
    <s v="SITE 00554"/>
    <s v="LOCATION 0017"/>
    <x v="11"/>
    <x v="0"/>
    <n v="1"/>
    <s v="C-196"/>
    <s v="23/24"/>
    <s v="Rotating Machinery"/>
    <s v="LOCATION 0017"/>
    <s v="SITE 00454"/>
    <s v="Baseline"/>
    <s v="Defects"/>
    <x v="3"/>
    <x v="9"/>
    <n v="141951.56632380001"/>
    <x v="2"/>
  </r>
  <r>
    <x v="17"/>
    <x v="17"/>
    <s v="SITE 00554"/>
    <s v="LOCATION 0037"/>
    <x v="11"/>
    <x v="0"/>
    <n v="1"/>
    <s v="C-196"/>
    <s v="23/24"/>
    <s v="Rotating Machinery"/>
    <s v="LOCATION 0037"/>
    <s v="SITE 00472"/>
    <s v="Baseline"/>
    <s v="Defects"/>
    <x v="9"/>
    <x v="10"/>
    <n v="141951.56632380001"/>
    <x v="2"/>
  </r>
  <r>
    <x v="18"/>
    <x v="18"/>
    <s v="SITE 00058"/>
    <s v="LOCATION 0123"/>
    <x v="11"/>
    <x v="0"/>
    <n v="1"/>
    <s v="C-196"/>
    <s v="23/24"/>
    <s v="Rotating Machinery"/>
    <s v="LOCATION 0123"/>
    <s v="SITE 00460"/>
    <s v="Baseline"/>
    <s v="Defects"/>
    <x v="0"/>
    <x v="0"/>
    <n v="141951.56632380001"/>
    <x v="3"/>
  </r>
  <r>
    <x v="19"/>
    <x v="19"/>
    <s v="SITE 00058"/>
    <s v="LOCATION 0156"/>
    <x v="11"/>
    <x v="0"/>
    <n v="1"/>
    <s v="C-196"/>
    <s v="23/24"/>
    <s v="Rotating Machinery"/>
    <s v="LOCATION 0156"/>
    <s v="SITE 00459"/>
    <s v="Baseline"/>
    <s v="Defects"/>
    <x v="0"/>
    <x v="0"/>
    <n v="141951.56632380001"/>
    <x v="3"/>
  </r>
  <r>
    <x v="20"/>
    <x v="20"/>
    <s v="SITE 00058"/>
    <s v="LOCATION 0156"/>
    <x v="11"/>
    <x v="0"/>
    <n v="1"/>
    <s v="C-196"/>
    <s v="23/24"/>
    <s v="Rotating Machinery"/>
    <s v="LOCATION 0156"/>
    <s v="SITE 00459"/>
    <s v="Baseline"/>
    <s v="Defects"/>
    <x v="0"/>
    <x v="0"/>
    <n v="141951.56632380001"/>
    <x v="3"/>
  </r>
  <r>
    <x v="21"/>
    <x v="21"/>
    <s v="SITE 00554"/>
    <s v="LOCATION 0037"/>
    <x v="4"/>
    <x v="0"/>
    <n v="1"/>
    <s v="C-PROJECT 000175"/>
    <s v="23/24"/>
    <s v="Rotating Machinery"/>
    <s v="LOCATION 0037"/>
    <s v="SITE 00472"/>
    <s v="Baseline"/>
    <s v="Legislation"/>
    <x v="9"/>
    <x v="11"/>
    <n v="231013.78300980001"/>
    <x v="2"/>
  </r>
  <r>
    <x v="22"/>
    <x v="22"/>
    <s v="SITE 00554"/>
    <s v="LOCATION 0017"/>
    <x v="12"/>
    <x v="0"/>
    <n v="1"/>
    <s v="C-177"/>
    <s v="23/24"/>
    <s v="Cabs"/>
    <s v="LOCATION 0017"/>
    <s v="SITE 00454"/>
    <s v="Baseline"/>
    <s v="Defects"/>
    <x v="10"/>
    <x v="12"/>
    <n v="638520.8600934"/>
    <x v="4"/>
  </r>
  <r>
    <x v="23"/>
    <x v="23"/>
    <s v="SITE 00554"/>
    <s v="LOCATION 0198"/>
    <x v="12"/>
    <x v="0"/>
    <n v="1"/>
    <s v="C-177"/>
    <s v="23/24"/>
    <s v="Cabs"/>
    <s v="LOCATION 0198"/>
    <s v="SITE 00482"/>
    <s v="Baseline"/>
    <s v="Defects"/>
    <x v="10"/>
    <x v="12"/>
    <n v="638520.8600934"/>
    <x v="4"/>
  </r>
  <r>
    <x v="24"/>
    <x v="24"/>
    <s v="SITE 00554"/>
    <s v="LOCATION 0198"/>
    <x v="12"/>
    <x v="0"/>
    <n v="1"/>
    <s v="C-177"/>
    <s v="23/24"/>
    <s v="Cabs"/>
    <s v="LOCATION 0198"/>
    <s v="SITE 00482"/>
    <s v="Baseline"/>
    <s v="Defects"/>
    <x v="10"/>
    <x v="12"/>
    <n v="638520.8600934"/>
    <x v="4"/>
  </r>
  <r>
    <x v="25"/>
    <x v="25"/>
    <s v="SITE 00554"/>
    <s v="LOCATION 0351"/>
    <x v="12"/>
    <x v="0"/>
    <n v="1"/>
    <s v="C-177"/>
    <s v="23/24"/>
    <s v="Cabs"/>
    <s v="LOCATION 0351"/>
    <s v="SITE 00480"/>
    <s v="Baseline"/>
    <s v="Defects"/>
    <x v="11"/>
    <x v="5"/>
    <n v="638520.8600934"/>
    <x v="11"/>
  </r>
  <r>
    <x v="26"/>
    <x v="26"/>
    <s v="SITE 00554"/>
    <s v="LOCATION 0017"/>
    <x v="13"/>
    <x v="0"/>
    <n v="1"/>
    <s v="C-PROJECT 0001PROJECT 00014"/>
    <s v="23/24"/>
    <s v="Cabs"/>
    <s v="LOCATION 0017"/>
    <s v="SITE 00454"/>
    <s v="Baseline"/>
    <s v="Defects"/>
    <x v="10"/>
    <x v="12"/>
    <n v="2074375.2233573999"/>
    <x v="4"/>
  </r>
  <r>
    <x v="27"/>
    <x v="27"/>
    <s v="REGION 004 AND NORTH"/>
    <s v="LOCATION 0069"/>
    <x v="13"/>
    <x v="0"/>
    <n v="1"/>
    <s v="C-PROJECT 0001PROJECT 00014"/>
    <s v="23/24"/>
    <s v="Cabs"/>
    <s v="LOCATION 0069"/>
    <s v="SITE 00462"/>
    <s v="Baseline"/>
    <s v="Defects"/>
    <x v="12"/>
    <x v="13"/>
    <n v="2074375.2233573999"/>
    <x v="12"/>
  </r>
  <r>
    <x v="28"/>
    <x v="28"/>
    <s v="SITE 00554"/>
    <s v="LOCATION 0351"/>
    <x v="13"/>
    <x v="0"/>
    <n v="1"/>
    <s v="C-PROJECT 0001PROJECT 00014"/>
    <s v="23/24"/>
    <s v="Cabs"/>
    <s v="LOCATION 0351"/>
    <s v="SITE 00480"/>
    <s v="Baseline"/>
    <s v="Defects"/>
    <x v="10"/>
    <x v="12"/>
    <n v="2074375.2233573999"/>
    <x v="4"/>
  </r>
  <r>
    <x v="29"/>
    <x v="29"/>
    <s v="REGION 004 AND NORTH"/>
    <s v="LOCATION 0544"/>
    <x v="14"/>
    <x v="0"/>
    <n v="1"/>
    <s v="C-PROJECT 0001PROJECT 00018"/>
    <s v="23/24"/>
    <s v="Cabs"/>
    <s v="LOCATION 0544"/>
    <s v="SITE 00464"/>
    <s v="Baseline"/>
    <s v="Fixed Time Interval"/>
    <x v="12"/>
    <x v="14"/>
    <n v="23882.884095599999"/>
    <x v="12"/>
  </r>
  <r>
    <x v="30"/>
    <x v="30"/>
    <s v="REGION 004 AND NORTH"/>
    <s v="LOCATION 0544"/>
    <x v="14"/>
    <x v="0"/>
    <n v="1"/>
    <s v="C-PROJECT 0001PROJECT 00018"/>
    <s v="23/24"/>
    <s v="Cabs"/>
    <s v="LOCATION 0544"/>
    <s v="SITE 00464"/>
    <s v="Baseline"/>
    <s v="Fixed Time Interval"/>
    <x v="12"/>
    <x v="14"/>
    <n v="23882.884095599999"/>
    <x v="12"/>
  </r>
  <r>
    <x v="31"/>
    <x v="31"/>
    <s v="SITE 00058"/>
    <s v="LOCATION 0240"/>
    <x v="14"/>
    <x v="0"/>
    <n v="1"/>
    <s v="C-PROJECT 0001PROJECT 00018"/>
    <s v="23/24"/>
    <s v="Cabs"/>
    <s v="LOCATION 0240"/>
    <s v="SITE 00473"/>
    <s v="Baseline"/>
    <s v="Fixed Time Interval"/>
    <x v="13"/>
    <x v="8"/>
    <n v="23882.884095599999"/>
    <x v="13"/>
  </r>
  <r>
    <x v="32"/>
    <x v="32"/>
    <s v="SITE 00554"/>
    <s v="LOCATION 0130"/>
    <x v="14"/>
    <x v="0"/>
    <n v="1"/>
    <s v="C-PROJECT 0001PROJECT 00018"/>
    <s v="23/24"/>
    <s v="Cabs"/>
    <s v="LOCATION 0130"/>
    <s v="SITE 00457"/>
    <s v="Baseline"/>
    <s v="Fixed Time Interval"/>
    <x v="10"/>
    <x v="12"/>
    <n v="23882.884095599999"/>
    <x v="4"/>
  </r>
  <r>
    <x v="33"/>
    <x v="33"/>
    <s v="SITE 00554"/>
    <s v="LOCATION 0037"/>
    <x v="14"/>
    <x v="0"/>
    <n v="1"/>
    <s v="C-PROJECT 0001PROJECT 00018"/>
    <s v="23/24"/>
    <s v="Cabs"/>
    <s v="LOCATION 0037"/>
    <s v="SITE 00472"/>
    <s v="Baseline"/>
    <s v="Fixed Time Interval"/>
    <x v="10"/>
    <x v="12"/>
    <n v="23882.884095599999"/>
    <x v="4"/>
  </r>
  <r>
    <x v="34"/>
    <x v="34"/>
    <s v="SITE 00058"/>
    <s v="LOCATION 0240"/>
    <x v="15"/>
    <x v="0"/>
    <n v="1"/>
    <s v="C-195"/>
    <s v="23/24"/>
    <s v="Rotating Machinery"/>
    <s v="LOCATION 0240"/>
    <s v="SITE 00473"/>
    <s v="Baseline"/>
    <s v="Usage Based Interval"/>
    <x v="0"/>
    <x v="0"/>
    <n v="72250.125052500007"/>
    <x v="3"/>
  </r>
  <r>
    <x v="35"/>
    <x v="35"/>
    <s v="SITE 00554"/>
    <s v="LOCATION 0130"/>
    <x v="16"/>
    <x v="0"/>
    <n v="1"/>
    <s v="C-186"/>
    <s v="23/24"/>
    <s v="Rotating Machinery"/>
    <s v="LOCATION 0130"/>
    <s v="SITE 00457"/>
    <s v="Baseline"/>
    <s v="Fixed Time Interval"/>
    <x v="14"/>
    <x v="15"/>
    <n v="72369.413371799994"/>
    <x v="2"/>
  </r>
  <r>
    <x v="36"/>
    <x v="36"/>
    <s v="SITE 00058"/>
    <s v="LOCATION 0240"/>
    <x v="16"/>
    <x v="0"/>
    <n v="1"/>
    <s v="C-186"/>
    <s v="23/24"/>
    <s v="Rotating Machinery"/>
    <s v="LOCATION 0240"/>
    <s v="SITE 00473"/>
    <s v="Baseline"/>
    <s v="Fixed Time Interval"/>
    <x v="0"/>
    <x v="0"/>
    <n v="72369.413371799994"/>
    <x v="3"/>
  </r>
  <r>
    <x v="37"/>
    <x v="37"/>
    <s v="SITE 00058"/>
    <s v="LOCATION 0240"/>
    <x v="17"/>
    <x v="0"/>
    <n v="1"/>
    <s v="C-185"/>
    <s v="23/24"/>
    <s v="Rotating Machinery"/>
    <s v="LOCATION 0240"/>
    <s v="SITE 00473"/>
    <s v="Baseline"/>
    <s v="Fixed Time Interval"/>
    <x v="0"/>
    <x v="0"/>
    <n v="77812.107480899998"/>
    <x v="3"/>
  </r>
  <r>
    <x v="38"/>
    <x v="38"/>
    <s v="SITE 00554"/>
    <s v="LOCATION 0130"/>
    <x v="18"/>
    <x v="0"/>
    <n v="1"/>
    <s v="C-133"/>
    <s v="23/24"/>
    <s v="Rotating Machinery"/>
    <s v="LOCATION 0130"/>
    <s v="SITE 00457"/>
    <s v="Baseline"/>
    <s v="Obsolescence"/>
    <x v="14"/>
    <x v="16"/>
    <n v="54588.913861499997"/>
    <x v="2"/>
  </r>
  <r>
    <x v="39"/>
    <x v="39"/>
    <s v="REGION 004 AND NORTH"/>
    <s v="LOCATION 0287"/>
    <x v="18"/>
    <x v="0"/>
    <n v="1"/>
    <s v="C-133"/>
    <s v="23/24"/>
    <s v="Rotating Machinery"/>
    <s v="LOCATION 0287"/>
    <s v="SITE 00465"/>
    <s v="Baseline"/>
    <s v="Obsolescence"/>
    <x v="0"/>
    <x v="0"/>
    <n v="54588.913861499997"/>
    <x v="0"/>
  </r>
  <r>
    <x v="40"/>
    <x v="40"/>
    <s v="SITE 00554"/>
    <s v="LOCATION 0546"/>
    <x v="18"/>
    <x v="0"/>
    <n v="1"/>
    <s v="C-133"/>
    <s v="23/24"/>
    <s v="Rotating Machinery"/>
    <s v="LOCATION 0546"/>
    <s v="SITE 00470"/>
    <s v="Baseline"/>
    <s v="Obsolescence"/>
    <x v="2"/>
    <x v="17"/>
    <n v="54588.913861499997"/>
    <x v="2"/>
  </r>
  <r>
    <x v="41"/>
    <x v="41"/>
    <s v="REGION 004 AND NORTH"/>
    <s v="LOCATION 0444"/>
    <x v="19"/>
    <x v="0"/>
    <n v="1"/>
    <s v="C-PROJECT 000111"/>
    <s v="23/24"/>
    <s v="LOCATION 9001"/>
    <s v="LOCATION 0444"/>
    <s v="SITE 00382"/>
    <s v="RIIO T2 - UM"/>
    <m/>
    <x v="15"/>
    <x v="8"/>
    <s v="1.43877642336E8"/>
    <x v="14"/>
  </r>
  <r>
    <x v="42"/>
    <x v="42"/>
    <s v="REGION 004 AND NORTH"/>
    <s v="LOCATION 0444"/>
    <x v="19"/>
    <x v="1"/>
    <n v="0"/>
    <s v="C-PROJECT 000111"/>
    <s v="18/19"/>
    <s v="LOCATION 9001"/>
    <s v="LOCATION 0444"/>
    <s v="SITE 00382"/>
    <s v="RIIO T2 - UM"/>
    <m/>
    <x v="16"/>
    <x v="8"/>
    <n v="0"/>
    <x v="15"/>
  </r>
  <r>
    <x v="43"/>
    <x v="43"/>
    <s v="REGION 004 AND NORTH"/>
    <s v="LOCATION 0444"/>
    <x v="19"/>
    <x v="1"/>
    <n v="0"/>
    <s v="C-PROJECT 000111"/>
    <s v="18/19"/>
    <s v="LOCATION 9001"/>
    <s v="LOCATION 0444"/>
    <s v="SITE 00382"/>
    <s v="RIIO T2 - UM"/>
    <m/>
    <x v="0"/>
    <x v="0"/>
    <n v="0"/>
    <x v="16"/>
  </r>
  <r>
    <x v="44"/>
    <x v="44"/>
    <s v="REGION 004 AND NORTH"/>
    <s v="LOCATION 0444"/>
    <x v="20"/>
    <x v="1"/>
    <n v="0"/>
    <s v="C-PROJECT 000115"/>
    <s v="18/19"/>
    <s v="LOCATION 9001"/>
    <s v="LOCATION 0444"/>
    <s v="SITE 00382"/>
    <s v="Baseline"/>
    <s v="Defects"/>
    <x v="0"/>
    <x v="0"/>
    <n v="0"/>
    <x v="0"/>
  </r>
  <r>
    <x v="45"/>
    <x v="45"/>
    <s v="REGION 004 AND NORTH"/>
    <s v="LOCATION 0444"/>
    <x v="21"/>
    <x v="0"/>
    <n v="0"/>
    <s v="C-PROJECT 000117"/>
    <s v="23/24"/>
    <s v="LOCATION 9001"/>
    <s v="LOCATION 0444"/>
    <s v="SITE 00382"/>
    <s v="Baseline"/>
    <s v="Usage Based Interval"/>
    <x v="17"/>
    <x v="8"/>
    <n v="1284404.8663107001"/>
    <x v="17"/>
  </r>
  <r>
    <x v="46"/>
    <x v="46"/>
    <s v="REGION 004 AND NORTH"/>
    <s v="LOCATION 0444"/>
    <x v="22"/>
    <x v="0"/>
    <n v="1"/>
    <s v="C-PROJECT 000129"/>
    <s v="23/24"/>
    <s v="LOCATION 9001"/>
    <s v="LOCATION 0444"/>
    <s v="SITE 00382"/>
    <s v="Baseline"/>
    <s v="Defects"/>
    <x v="18"/>
    <x v="8"/>
    <n v="5626756.9962576004"/>
    <x v="18"/>
  </r>
  <r>
    <x v="47"/>
    <x v="47"/>
    <s v="REGION 004 AND NORTH"/>
    <s v="LOCATION 0444"/>
    <x v="23"/>
    <x v="3"/>
    <n v="2"/>
    <s v="C-PROJECT 000131"/>
    <s v="23/24"/>
    <s v="LOCATION 9001"/>
    <s v="LOCATION 0444"/>
    <s v="SITE 00382"/>
    <s v="Baseline"/>
    <s v="Defects"/>
    <x v="19"/>
    <x v="18"/>
    <n v="786744.31296600006"/>
    <x v="19"/>
  </r>
  <r>
    <x v="48"/>
    <x v="48"/>
    <s v="REGION 004 AND NORTH"/>
    <s v="LOCATION 0444"/>
    <x v="24"/>
    <x v="0"/>
    <n v="1"/>
    <s v="C-PROJECT 000135"/>
    <s v="23/24"/>
    <s v="LOCATION 9001"/>
    <s v="LOCATION 0444"/>
    <s v="SITE 00382"/>
    <s v="Baseline"/>
    <s v="Defects"/>
    <x v="20"/>
    <x v="19"/>
    <n v="1135254.4856342999"/>
    <x v="20"/>
  </r>
  <r>
    <x v="49"/>
    <x v="49"/>
    <s v="REGION 004 AND NORTH"/>
    <s v="LOCATION 0444"/>
    <x v="24"/>
    <x v="0"/>
    <n v="1"/>
    <s v="C-PROJECT 000135"/>
    <s v="23/24"/>
    <s v="LOCATION 9001"/>
    <s v="LOCATION 0444"/>
    <s v="SITE 00382"/>
    <s v="Baseline"/>
    <s v="Defects"/>
    <x v="20"/>
    <x v="19"/>
    <n v="1135254.4856342999"/>
    <x v="20"/>
  </r>
  <r>
    <x v="50"/>
    <x v="50"/>
    <m/>
    <m/>
    <x v="7"/>
    <x v="2"/>
    <m/>
    <m/>
    <m/>
    <m/>
    <m/>
    <m/>
    <m/>
    <m/>
    <x v="0"/>
    <x v="0"/>
    <m/>
    <x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1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D3:I71" firstHeaderRow="1" firstDataRow="1" firstDataCol="5"/>
  <pivotFields count="26">
    <pivotField dataField="1" compact="0" numFmtId="168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axis="axisRow" compact="0" outline="0" showAll="0" defaultSubtotal="0">
      <items count="898"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71"/>
        <item m="1" x="872"/>
        <item m="1" x="873"/>
        <item m="1" x="874"/>
        <item m="1" x="875"/>
        <item m="1" x="820"/>
        <item m="1" x="821"/>
        <item m="1" x="822"/>
        <item m="1" x="876"/>
        <item m="1" x="877"/>
        <item m="1" x="823"/>
        <item m="1" x="878"/>
        <item m="1" x="879"/>
        <item m="1" x="880"/>
        <item m="1" x="881"/>
        <item m="1" x="824"/>
        <item m="1" x="825"/>
        <item m="1" x="826"/>
        <item m="1" x="827"/>
        <item m="1" x="828"/>
        <item m="1" x="829"/>
        <item m="1" x="882"/>
        <item m="1" x="830"/>
        <item m="1" x="883"/>
        <item m="1" x="831"/>
        <item m="1" x="884"/>
        <item m="1" x="885"/>
        <item m="1" x="886"/>
        <item m="1" x="887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88"/>
        <item m="1" x="889"/>
        <item m="1" x="890"/>
        <item m="1" x="891"/>
        <item m="1" x="892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93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94"/>
        <item m="1" x="895"/>
        <item m="1" x="896"/>
        <item m="1" x="868"/>
        <item m="1" x="869"/>
        <item m="1" x="870"/>
        <item m="1" x="897"/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864">
        <item m="1" x="131"/>
        <item m="1" x="263"/>
        <item m="1" x="264"/>
        <item m="1" x="257"/>
        <item m="1" x="267"/>
        <item m="1" x="254"/>
        <item m="1" x="255"/>
        <item m="1" x="265"/>
        <item m="1" x="266"/>
        <item m="1" x="256"/>
        <item m="1" x="258"/>
        <item m="1" x="259"/>
        <item m="1" x="260"/>
        <item m="1" x="261"/>
        <item m="1" x="262"/>
        <item m="1" x="798"/>
        <item m="1" x="819"/>
        <item m="1" x="799"/>
        <item m="1" x="800"/>
        <item m="1" x="385"/>
        <item m="1" x="393"/>
        <item m="1" x="605"/>
        <item m="1" x="561"/>
        <item m="1" x="286"/>
        <item m="1" x="849"/>
        <item m="1" x="464"/>
        <item m="1" x="204"/>
        <item m="1" x="202"/>
        <item m="1" x="203"/>
        <item m="1" x="229"/>
        <item m="1" x="228"/>
        <item m="1" x="230"/>
        <item m="1" x="231"/>
        <item m="1" x="130"/>
        <item m="1" x="606"/>
        <item m="1" x="277"/>
        <item m="1" x="136"/>
        <item m="1" x="146"/>
        <item m="1" x="144"/>
        <item m="1" x="391"/>
        <item m="1" x="439"/>
        <item m="1" x="378"/>
        <item m="1" x="609"/>
        <item m="1" x="379"/>
        <item m="1" x="345"/>
        <item m="1" x="470"/>
        <item m="1" x="214"/>
        <item m="1" x="251"/>
        <item m="1" x="694"/>
        <item m="1" x="178"/>
        <item m="1" x="179"/>
        <item m="1" x="642"/>
        <item m="1" x="654"/>
        <item m="1" x="655"/>
        <item m="1" x="657"/>
        <item m="1" x="595"/>
        <item m="1" x="637"/>
        <item m="1" x="617"/>
        <item m="1" x="695"/>
        <item m="1" x="651"/>
        <item m="1" x="650"/>
        <item m="1" x="653"/>
        <item m="1" x="652"/>
        <item m="1" x="717"/>
        <item m="1" x="826"/>
        <item m="1" x="271"/>
        <item m="1" x="776"/>
        <item m="1" x="117"/>
        <item m="1" x="288"/>
        <item m="1" x="118"/>
        <item m="1" x="240"/>
        <item m="1" x="342"/>
        <item m="1" x="818"/>
        <item m="1" x="441"/>
        <item m="1" x="147"/>
        <item m="1" x="626"/>
        <item m="1" x="563"/>
        <item m="1" x="396"/>
        <item m="1" x="397"/>
        <item m="1" x="181"/>
        <item m="1" x="434"/>
        <item m="1" x="584"/>
        <item m="1" x="585"/>
        <item m="1" x="582"/>
        <item m="1" x="580"/>
        <item m="1" x="581"/>
        <item m="1" x="586"/>
        <item m="1" x="778"/>
        <item m="1" x="583"/>
        <item m="1" x="372"/>
        <item m="1" x="380"/>
        <item m="1" x="373"/>
        <item m="1" x="195"/>
        <item m="1" x="371"/>
        <item m="1" x="656"/>
        <item m="1" x="177"/>
        <item m="1" x="696"/>
        <item m="1" x="596"/>
        <item m="1" x="564"/>
        <item m="1" x="472"/>
        <item m="1" x="471"/>
        <item m="1" x="697"/>
        <item m="1" x="597"/>
        <item m="1" x="347"/>
        <item m="1" x="698"/>
        <item m="1" x="598"/>
        <item m="1" x="346"/>
        <item m="1" x="350"/>
        <item m="1" x="134"/>
        <item m="1" x="135"/>
        <item m="1" x="133"/>
        <item m="1" x="107"/>
        <item m="1" x="348"/>
        <item m="1" x="137"/>
        <item m="1" x="197"/>
        <item m="1" x="79"/>
        <item m="1" x="155"/>
        <item m="1" x="151"/>
        <item m="1" x="210"/>
        <item m="1" x="620"/>
        <item m="1" x="565"/>
        <item m="1" x="683"/>
        <item m="1" x="421"/>
        <item m="1" x="546"/>
        <item m="1" x="553"/>
        <item m="1" x="664"/>
        <item m="1" x="549"/>
        <item m="1" x="558"/>
        <item m="1" x="659"/>
        <item m="1" x="663"/>
        <item m="1" x="665"/>
        <item m="1" x="554"/>
        <item m="1" x="666"/>
        <item m="1" x="550"/>
        <item m="1" x="559"/>
        <item m="1" x="660"/>
        <item m="1" x="662"/>
        <item m="1" x="667"/>
        <item m="1" x="555"/>
        <item m="1" x="668"/>
        <item m="1" x="551"/>
        <item m="1" x="661"/>
        <item m="1" x="547"/>
        <item m="1" x="669"/>
        <item m="1" x="556"/>
        <item m="1" x="670"/>
        <item m="1" x="552"/>
        <item m="1" x="548"/>
        <item m="1" x="671"/>
        <item m="1" x="557"/>
        <item m="1" x="672"/>
        <item m="1" x="681"/>
        <item m="1" x="499"/>
        <item m="1" x="500"/>
        <item m="1" x="699"/>
        <item m="1" x="501"/>
        <item m="1" x="627"/>
        <item m="1" x="138"/>
        <item m="1" x="272"/>
        <item m="1" x="612"/>
        <item m="1" x="801"/>
        <item m="1" x="684"/>
        <item m="1" x="287"/>
        <item m="1" x="192"/>
        <item m="1" x="194"/>
        <item m="1" x="193"/>
        <item m="1" x="423"/>
        <item m="1" x="400"/>
        <item m="1" x="445"/>
        <item m="1" x="448"/>
        <item m="1" x="446"/>
        <item m="1" x="447"/>
        <item m="1" x="449"/>
        <item m="1" x="139"/>
        <item m="1" x="23"/>
        <item m="1" x="74"/>
        <item m="1" x="685"/>
        <item m="1" x="75"/>
        <item m="1" x="686"/>
        <item m="1" x="761"/>
        <item m="1" x="270"/>
        <item m="1" x="145"/>
        <item m="1" x="183"/>
        <item m="1" x="339"/>
        <item m="1" x="762"/>
        <item m="1" x="643"/>
        <item m="1" x="399"/>
        <item m="1" x="59"/>
        <item m="1" x="716"/>
        <item m="1" x="754"/>
        <item m="1" x="859"/>
        <item m="1" x="851"/>
        <item m="1" x="850"/>
        <item m="1" x="852"/>
        <item m="1" x="794"/>
        <item m="1" x="853"/>
        <item m="1" x="76"/>
        <item m="1" x="795"/>
        <item m="1" x="81"/>
        <item m="1" x="80"/>
        <item m="1" x="82"/>
        <item m="1" x="796"/>
        <item m="1" x="848"/>
        <item m="1" x="700"/>
        <item m="1" x="566"/>
        <item m="1" x="149"/>
        <item m="1" x="622"/>
        <item m="1" x="624"/>
        <item m="1" x="599"/>
        <item m="1" x="701"/>
        <item m="1" x="771"/>
        <item m="1" x="772"/>
        <item m="1" x="611"/>
        <item m="1" x="613"/>
        <item m="1" x="702"/>
        <item m="1" x="338"/>
        <item m="1" x="644"/>
        <item m="1" x="390"/>
        <item m="1" x="614"/>
        <item m="1" x="206"/>
        <item m="1" x="674"/>
        <item m="1" x="675"/>
        <item m="1" x="676"/>
        <item m="1" x="677"/>
        <item m="1" x="678"/>
        <item m="1" x="679"/>
        <item m="1" x="113"/>
        <item m="1" x="110"/>
        <item m="1" x="111"/>
        <item m="1" x="112"/>
        <item m="1" x="836"/>
        <item m="1" x="833"/>
        <item m="1" x="832"/>
        <item m="1" x="827"/>
        <item m="1" x="835"/>
        <item m="1" x="830"/>
        <item m="1" x="831"/>
        <item m="1" x="407"/>
        <item m="1" x="703"/>
        <item m="1" x="567"/>
        <item m="1" x="384"/>
        <item m="1" x="227"/>
        <item m="1" x="442"/>
        <item m="1" x="289"/>
        <item m="1" x="488"/>
        <item m="1" x="430"/>
        <item m="1" x="305"/>
        <item m="1" x="370"/>
        <item m="1" x="369"/>
        <item m="1" x="687"/>
        <item m="1" x="704"/>
        <item m="1" x="344"/>
        <item m="1" x="615"/>
        <item m="1" x="641"/>
        <item m="1" x="285"/>
        <item m="1" x="705"/>
        <item m="1" x="608"/>
        <item m="1" x="636"/>
        <item m="1" x="763"/>
        <item m="1" x="562"/>
        <item m="1" x="208"/>
        <item m="1" x="425"/>
        <item m="1" x="628"/>
        <item m="1" x="473"/>
        <item m="1" x="114"/>
        <item m="1" x="600"/>
        <item m="1" x="377"/>
        <item m="1" x="14"/>
        <item m="1" x="797"/>
        <item m="1" x="418"/>
        <item m="1" x="404"/>
        <item m="1" x="199"/>
        <item m="1" x="374"/>
        <item m="1" x="607"/>
        <item m="1" x="706"/>
        <item m="1" x="633"/>
        <item m="1" x="375"/>
        <item m="1" x="292"/>
        <item m="1" x="241"/>
        <item m="1" x="474"/>
        <item m="1" x="475"/>
        <item m="1" x="707"/>
        <item m="1" x="708"/>
        <item m="1" x="824"/>
        <item m="1" x="78"/>
        <item m="1" x="198"/>
        <item m="1" x="40"/>
        <item m="1" x="21"/>
        <item m="1" x="13"/>
        <item m="1" x="16"/>
        <item m="1" x="52"/>
        <item m="1" x="45"/>
        <item m="1" x="37"/>
        <item m="1" x="221"/>
        <item m="1" x="32"/>
        <item m="1" x="159"/>
        <item m="1" x="18"/>
        <item m="1" x="56"/>
        <item m="1" x="160"/>
        <item m="1" x="34"/>
        <item m="1" x="29"/>
        <item m="1" x="49"/>
        <item m="1" x="42"/>
        <item m="1" x="158"/>
        <item m="1" x="222"/>
        <item m="1" x="44"/>
        <item m="1" x="17"/>
        <item m="1" x="54"/>
        <item m="1" x="26"/>
        <item m="1" x="623"/>
        <item m="1" x="109"/>
        <item m="1" x="89"/>
        <item m="1" x="601"/>
        <item m="1" x="634"/>
        <item m="1" x="246"/>
        <item m="1" x="828"/>
        <item m="1" x="829"/>
        <item m="1" x="834"/>
        <item m="1" x="760"/>
        <item m="1" x="616"/>
        <item m="1" x="293"/>
        <item m="1" x="105"/>
        <item m="1" x="95"/>
        <item m="1" x="41"/>
        <item m="1" x="50"/>
        <item m="1" x="123"/>
        <item m="1" x="102"/>
        <item m="1" x="276"/>
        <item m="1" x="12"/>
        <item m="1" x="57"/>
        <item m="1" x="98"/>
        <item m="1" x="35"/>
        <item m="1" x="217"/>
        <item m="1" x="39"/>
        <item m="1" x="90"/>
        <item m="1" x="24"/>
        <item m="1" x="154"/>
        <item m="1" x="94"/>
        <item m="1" x="215"/>
        <item m="1" x="125"/>
        <item m="1" x="126"/>
        <item m="1" x="28"/>
        <item m="1" x="127"/>
        <item m="1" x="128"/>
        <item m="1" x="38"/>
        <item m="1" x="30"/>
        <item m="1" x="47"/>
        <item m="1" x="72"/>
        <item m="1" x="15"/>
        <item m="1" x="268"/>
        <item m="1" x="63"/>
        <item m="1" x="170"/>
        <item m="1" x="162"/>
        <item m="1" x="167"/>
        <item m="1" x="165"/>
        <item m="1" x="169"/>
        <item m="1" x="175"/>
        <item m="1" x="176"/>
        <item m="1" x="166"/>
        <item m="1" x="174"/>
        <item m="1" x="164"/>
        <item m="1" x="73"/>
        <item m="1" x="163"/>
        <item m="1" x="172"/>
        <item m="1" x="173"/>
        <item m="1" x="168"/>
        <item m="1" x="171"/>
        <item m="1" x="104"/>
        <item m="1" x="436"/>
        <item m="1" x="220"/>
        <item m="1" x="157"/>
        <item m="1" x="132"/>
        <item m="1" x="83"/>
        <item m="1" x="86"/>
        <item m="1" x="66"/>
        <item m="1" x="60"/>
        <item m="1" x="70"/>
        <item m="1" x="115"/>
        <item m="1" x="116"/>
        <item m="1" x="84"/>
        <item m="1" x="85"/>
        <item m="1" x="106"/>
        <item m="1" x="129"/>
        <item m="1" x="180"/>
        <item m="1" x="122"/>
        <item m="1" x="191"/>
        <item m="1" x="451"/>
        <item m="1" x="279"/>
        <item m="1" x="280"/>
        <item m="1" x="282"/>
        <item m="1" x="281"/>
        <item m="1" x="278"/>
        <item m="1" x="283"/>
        <item m="1" x="200"/>
        <item m="1" x="216"/>
        <item m="1" x="218"/>
        <item m="1" x="226"/>
        <item m="1" x="296"/>
        <item m="1" x="325"/>
        <item m="1" x="323"/>
        <item m="1" x="295"/>
        <item m="1" x="316"/>
        <item m="1" x="297"/>
        <item m="1" x="319"/>
        <item m="1" x="298"/>
        <item m="1" x="324"/>
        <item m="1" x="294"/>
        <item m="1" x="307"/>
        <item m="1" x="320"/>
        <item m="1" x="329"/>
        <item m="1" x="312"/>
        <item m="1" x="321"/>
        <item m="1" x="232"/>
        <item m="1" x="234"/>
        <item m="1" x="235"/>
        <item m="1" x="236"/>
        <item m="1" x="457"/>
        <item m="1" x="458"/>
        <item m="1" x="237"/>
        <item m="1" x="459"/>
        <item m="1" x="460"/>
        <item m="1" x="520"/>
        <item m="1" x="521"/>
        <item m="1" x="522"/>
        <item m="1" x="523"/>
        <item m="1" x="524"/>
        <item m="1" x="525"/>
        <item m="1" x="519"/>
        <item m="1" x="526"/>
        <item m="1" x="528"/>
        <item m="1" x="527"/>
        <item m="1" x="238"/>
        <item m="1" x="516"/>
        <item m="1" x="518"/>
        <item m="1" x="517"/>
        <item m="1" x="532"/>
        <item m="1" x="529"/>
        <item m="1" x="530"/>
        <item m="1" x="531"/>
        <item m="1" x="424"/>
        <item m="1" x="415"/>
        <item m="1" x="239"/>
        <item m="1" x="535"/>
        <item m="1" x="533"/>
        <item m="1" x="534"/>
        <item m="1" x="538"/>
        <item m="1" x="536"/>
        <item m="1" x="539"/>
        <item m="1" x="537"/>
        <item m="1" x="382"/>
        <item m="1" x="387"/>
        <item m="1" x="389"/>
        <item m="1" x="388"/>
        <item m="1" x="437"/>
        <item m="1" x="244"/>
        <item m="1" x="253"/>
        <item m="1" x="402"/>
        <item m="1" x="403"/>
        <item m="1" x="330"/>
        <item m="1" x="327"/>
        <item m="1" x="343"/>
        <item m="1" x="492"/>
        <item m="1" x="496"/>
        <item m="1" x="498"/>
        <item m="1" x="493"/>
        <item m="1" x="489"/>
        <item m="1" x="494"/>
        <item m="1" x="495"/>
        <item m="1" x="490"/>
        <item m="1" x="497"/>
        <item m="1" x="491"/>
        <item m="1" x="386"/>
        <item m="1" x="300"/>
        <item m="1" x="301"/>
        <item m="1" x="302"/>
        <item m="1" x="303"/>
        <item m="1" x="304"/>
        <item m="1" x="333"/>
        <item m="1" x="308"/>
        <item m="1" x="311"/>
        <item m="1" x="313"/>
        <item m="1" x="314"/>
        <item m="1" x="315"/>
        <item m="1" x="543"/>
        <item m="1" x="542"/>
        <item m="1" x="544"/>
        <item m="1" x="541"/>
        <item m="1" x="444"/>
        <item m="1" x="443"/>
        <item m="1" x="468"/>
        <item m="1" x="478"/>
        <item m="1" x="483"/>
        <item m="1" x="482"/>
        <item m="1" x="484"/>
        <item m="1" x="508"/>
        <item m="1" x="510"/>
        <item m="1" x="514"/>
        <item m="1" x="515"/>
        <item m="1" x="512"/>
        <item m="1" x="513"/>
        <item m="1" x="511"/>
        <item m="1" x="509"/>
        <item m="1" x="476"/>
        <item m="1" x="479"/>
        <item m="1" x="480"/>
        <item m="1" x="477"/>
        <item m="1" x="486"/>
        <item m="1" x="485"/>
        <item m="1" x="481"/>
        <item m="1" x="450"/>
        <item m="1" x="422"/>
        <item m="1" x="426"/>
        <item m="1" x="414"/>
        <item m="1" x="332"/>
        <item m="1" x="454"/>
        <item m="1" x="456"/>
        <item m="1" x="455"/>
        <item m="1" x="207"/>
        <item m="1" x="211"/>
        <item m="1" x="462"/>
        <item m="1" x="465"/>
        <item m="1" x="461"/>
        <item m="1" x="467"/>
        <item m="1" x="417"/>
        <item m="1" x="334"/>
        <item m="1" x="335"/>
        <item m="1" x="336"/>
        <item m="1" x="337"/>
        <item m="1" x="331"/>
        <item m="1" x="317"/>
        <item m="1" x="322"/>
        <item m="1" x="299"/>
        <item m="1" x="318"/>
        <item m="1" x="53"/>
        <item m="1" x="51"/>
        <item m="1" x="31"/>
        <item m="1" x="20"/>
        <item m="1" x="36"/>
        <item m="1" x="25"/>
        <item m="1" x="65"/>
        <item m="1" x="91"/>
        <item m="1" x="43"/>
        <item m="1" x="46"/>
        <item m="1" x="55"/>
        <item m="1" x="101"/>
        <item m="1" x="48"/>
        <item m="1" x="19"/>
        <item m="1" x="97"/>
        <item m="1" x="99"/>
        <item m="1" x="92"/>
        <item m="1" x="96"/>
        <item m="1" x="93"/>
        <item m="1" x="100"/>
        <item m="1" x="33"/>
        <item m="1" x="22"/>
        <item m="1" x="27"/>
        <item m="1" x="435"/>
        <item m="1" x="629"/>
        <item m="1" x="764"/>
        <item m="1" x="291"/>
        <item m="1" x="290"/>
        <item m="1" x="645"/>
        <item m="1" x="395"/>
        <item m="1" x="469"/>
        <item m="1" x="88"/>
        <item m="1" x="201"/>
        <item m="1" x="602"/>
        <item m="1" x="392"/>
        <item m="1" x="619"/>
        <item m="1" x="142"/>
        <item m="1" x="124"/>
        <item m="1" x="408"/>
        <item m="1" x="416"/>
        <item m="1" x="487"/>
        <item m="1" x="432"/>
        <item m="1" x="431"/>
        <item m="1" x="823"/>
        <item m="1" x="822"/>
        <item m="1" x="185"/>
        <item m="1" x="189"/>
        <item m="1" x="186"/>
        <item m="1" x="187"/>
        <item m="1" x="188"/>
        <item m="1" x="184"/>
        <item m="1" x="119"/>
        <item m="1" x="150"/>
        <item m="1" x="572"/>
        <item m="1" x="775"/>
        <item m="1" x="77"/>
        <item m="1" x="463"/>
        <item m="1" x="249"/>
        <item m="1" x="306"/>
        <item m="1" x="766"/>
        <item m="1" x="503"/>
        <item m="1" x="504"/>
        <item m="1" x="502"/>
        <item m="1" x="646"/>
        <item m="1" x="250"/>
        <item m="1" x="709"/>
        <item m="1" x="635"/>
        <item m="1" x="618"/>
        <item m="1" x="328"/>
        <item m="1" x="625"/>
        <item m="1" x="767"/>
        <item m="1" x="752"/>
        <item m="1" x="751"/>
        <item m="1" x="756"/>
        <item m="1" x="710"/>
        <item m="1" x="604"/>
        <item m="1" x="768"/>
        <item m="1" x="103"/>
        <item m="1" x="376"/>
        <item m="1" x="381"/>
        <item m="1" x="692"/>
        <item m="1" x="711"/>
        <item m="1" x="182"/>
        <item m="1" x="603"/>
        <item m="1" x="351"/>
        <item m="1" x="860"/>
        <item m="1" x="863"/>
        <item m="1" x="861"/>
        <item m="1" x="862"/>
        <item m="1" x="284"/>
        <item m="1" x="590"/>
        <item m="1" x="589"/>
        <item m="1" x="591"/>
        <item m="1" x="588"/>
        <item m="1" x="587"/>
        <item m="1" x="196"/>
        <item m="1" x="143"/>
        <item m="1" x="433"/>
        <item m="1" x="148"/>
        <item m="1" x="688"/>
        <item m="1" x="560"/>
        <item m="1" x="140"/>
        <item m="1" x="769"/>
        <item m="1" x="190"/>
        <item m="1" x="428"/>
        <item m="1" x="309"/>
        <item m="1" x="621"/>
        <item m="1" x="630"/>
        <item m="1" x="224"/>
        <item m="1" x="213"/>
        <item m="1" x="243"/>
        <item m="1" x="58"/>
        <item m="1" x="141"/>
        <item m="1" x="71"/>
        <item m="1" x="121"/>
        <item m="1" x="161"/>
        <item m="1" x="152"/>
        <item m="1" x="153"/>
        <item m="1" x="252"/>
        <item m="1" x="269"/>
        <item m="1" x="398"/>
        <item m="1" x="352"/>
        <item m="1" x="410"/>
        <item m="1" x="411"/>
        <item m="1" x="412"/>
        <item m="1" x="61"/>
        <item m="1" x="825"/>
        <item m="1" x="64"/>
        <item m="1" x="120"/>
        <item m="1" x="156"/>
        <item m="1" x="212"/>
        <item m="1" x="209"/>
        <item m="1" x="791"/>
        <item m="1" x="843"/>
        <item m="1" x="452"/>
        <item m="1" x="783"/>
        <item m="1" x="842"/>
        <item m="1" x="785"/>
        <item m="1" x="792"/>
        <item m="1" x="790"/>
        <item m="1" x="846"/>
        <item m="1" x="787"/>
        <item m="1" x="786"/>
        <item m="1" x="841"/>
        <item m="1" x="847"/>
        <item m="1" x="839"/>
        <item m="1" x="838"/>
        <item m="1" x="840"/>
        <item m="1" x="844"/>
        <item m="1" x="779"/>
        <item m="1" x="789"/>
        <item m="1" x="845"/>
        <item m="1" x="793"/>
        <item m="1" x="837"/>
        <item m="1" x="438"/>
        <item m="1" x="356"/>
        <item m="1" x="358"/>
        <item m="1" x="357"/>
        <item m="1" x="360"/>
        <item m="1" x="361"/>
        <item m="1" x="359"/>
        <item m="1" x="362"/>
        <item m="1" x="363"/>
        <item m="1" x="364"/>
        <item m="1" x="365"/>
        <item m="1" x="367"/>
        <item m="1" x="368"/>
        <item m="1" x="366"/>
        <item m="1" x="340"/>
        <item m="1" x="353"/>
        <item m="1" x="354"/>
        <item m="1" x="355"/>
        <item m="1" x="821"/>
        <item m="1" x="820"/>
        <item m="1" x="427"/>
        <item m="1" x="788"/>
        <item m="1" x="782"/>
        <item m="1" x="784"/>
        <item m="1" x="781"/>
        <item m="1" x="780"/>
        <item m="1" x="466"/>
        <item m="1" x="406"/>
        <item m="1" x="690"/>
        <item m="1" x="405"/>
        <item m="1" x="413"/>
        <item m="1" x="383"/>
        <item m="1" x="248"/>
        <item m="1" x="242"/>
        <item m="1" x="247"/>
        <item m="1" x="273"/>
        <item m="1" x="274"/>
        <item m="1" x="275"/>
        <item m="1" x="453"/>
        <item m="1" x="341"/>
        <item m="1" x="691"/>
        <item m="1" x="639"/>
        <item m="1" x="593"/>
        <item m="1" x="693"/>
        <item m="1" x="592"/>
        <item m="1" x="658"/>
        <item m="1" x="632"/>
        <item m="1" x="773"/>
        <item m="1" x="774"/>
        <item m="1" x="640"/>
        <item m="1" x="759"/>
        <item m="1" x="594"/>
        <item m="1" x="682"/>
        <item m="1" x="758"/>
        <item m="1" x="219"/>
        <item m="1" x="245"/>
        <item m="1" x="326"/>
        <item m="1" x="225"/>
        <item m="1" x="233"/>
        <item m="1" x="803"/>
        <item m="1" x="813"/>
        <item m="1" x="812"/>
        <item m="1" x="814"/>
        <item m="1" x="805"/>
        <item m="1" x="817"/>
        <item m="1" x="810"/>
        <item m="1" x="809"/>
        <item m="1" x="808"/>
        <item m="1" x="807"/>
        <item m="1" x="802"/>
        <item m="1" x="806"/>
        <item m="1" x="816"/>
        <item m="1" x="811"/>
        <item m="1" x="804"/>
        <item m="1" x="815"/>
        <item m="1" x="855"/>
        <item m="1" x="854"/>
        <item m="1" x="856"/>
        <item m="1" x="857"/>
        <item m="1" x="858"/>
        <item m="1" x="420"/>
        <item m="1" x="419"/>
        <item m="1" x="409"/>
        <item m="1" x="569"/>
        <item m="1" x="570"/>
        <item m="1" x="571"/>
        <item m="1" x="568"/>
        <item m="1" x="573"/>
        <item m="1" x="574"/>
        <item m="1" x="575"/>
        <item m="1" x="576"/>
        <item m="1" x="577"/>
        <item m="1" x="578"/>
        <item m="1" x="579"/>
        <item m="1" x="647"/>
        <item m="1" x="310"/>
        <item m="1" x="87"/>
        <item m="1" x="770"/>
        <item m="1" x="648"/>
        <item m="1" x="712"/>
        <item m="1" x="11"/>
        <item m="1" x="429"/>
        <item m="1" x="540"/>
        <item m="1" x="713"/>
        <item m="1" x="777"/>
        <item m="1" x="673"/>
        <item m="1" x="394"/>
        <item m="1" x="750"/>
        <item m="1" x="739"/>
        <item m="1" x="736"/>
        <item m="1" x="729"/>
        <item m="1" x="740"/>
        <item m="1" x="724"/>
        <item m="1" x="748"/>
        <item m="1" x="722"/>
        <item m="1" x="749"/>
        <item m="1" x="723"/>
        <item m="1" x="731"/>
        <item m="1" x="738"/>
        <item m="1" x="757"/>
        <item m="1" x="732"/>
        <item m="1" x="737"/>
        <item m="1" x="725"/>
        <item m="1" x="720"/>
        <item m="1" x="741"/>
        <item m="1" x="726"/>
        <item m="1" x="743"/>
        <item m="1" x="735"/>
        <item m="1" x="742"/>
        <item m="1" x="734"/>
        <item m="1" x="733"/>
        <item m="1" x="753"/>
        <item m="1" x="727"/>
        <item m="1" x="719"/>
        <item m="1" x="728"/>
        <item m="1" x="730"/>
        <item m="1" x="718"/>
        <item m="1" x="747"/>
        <item m="1" x="745"/>
        <item m="1" x="744"/>
        <item m="1" x="746"/>
        <item m="1" x="721"/>
        <item m="1" x="755"/>
        <item m="1" x="689"/>
        <item m="1" x="680"/>
        <item m="1" x="67"/>
        <item m="1" x="610"/>
        <item m="1" x="714"/>
        <item m="1" x="62"/>
        <item m="1" x="505"/>
        <item m="1" x="506"/>
        <item m="1" x="108"/>
        <item m="1" x="68"/>
        <item m="1" x="69"/>
        <item m="1" x="631"/>
        <item m="1" x="545"/>
        <item m="1" x="649"/>
        <item m="1" x="507"/>
        <item m="1" x="205"/>
        <item m="1" x="401"/>
        <item m="1" x="765"/>
        <item m="1" x="440"/>
        <item m="1" x="715"/>
        <item m="1" x="349"/>
        <item m="1" x="638"/>
        <item m="1" x="223"/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compact="0" outline="0" showAll="0" defaultSubtotal="0">
      <items count="2583">
        <item m="1" x="68"/>
        <item m="1" x="2517"/>
        <item m="1" x="69"/>
        <item m="1" x="70"/>
        <item sd="0"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518"/>
        <item m="1" x="2453"/>
        <item m="1" x="2519"/>
        <item m="1" x="2454"/>
        <item m="1" x="2520"/>
        <item m="1" x="2455"/>
        <item m="1" x="2521"/>
        <item m="1" x="2456"/>
        <item m="1" x="2522"/>
        <item m="1" x="2457"/>
        <item m="1" x="2523"/>
        <item m="1" x="2458"/>
        <item m="1" x="2524"/>
        <item m="1" x="2525"/>
        <item m="1" x="2526"/>
        <item m="1" x="2527"/>
        <item m="1" x="2528"/>
        <item m="1" x="2529"/>
        <item m="1" x="2459"/>
        <item m="1" x="2530"/>
        <item m="1" x="2460"/>
        <item m="1" x="2531"/>
        <item m="1" x="2461"/>
        <item m="1" x="2532"/>
        <item m="1" x="2533"/>
        <item m="1" x="2534"/>
        <item m="1" x="2462"/>
        <item m="1" x="2535"/>
        <item m="1" x="2536"/>
        <item m="1" x="2537"/>
        <item m="1" x="2538"/>
        <item m="1" x="2539"/>
        <item m="1" x="2463"/>
        <item m="1" x="2540"/>
        <item m="1" x="2464"/>
        <item m="1" x="2541"/>
        <item m="1" x="2465"/>
        <item m="1" x="2542"/>
        <item m="1" x="2466"/>
        <item m="1" x="2467"/>
        <item m="1" x="2468"/>
        <item m="1" x="2543"/>
        <item m="1" x="2469"/>
        <item m="1" x="2544"/>
        <item m="1" x="2545"/>
        <item m="1" x="2470"/>
        <item m="1" x="2546"/>
        <item m="1" x="2547"/>
        <item m="1" x="2548"/>
        <item m="1" x="2549"/>
        <item m="1" x="2550"/>
        <item m="1" x="2471"/>
        <item m="1" x="2551"/>
        <item m="1" x="2472"/>
        <item m="1" x="2552"/>
        <item m="1" x="2473"/>
        <item m="1" x="2553"/>
        <item m="1" x="2474"/>
        <item m="1" x="2475"/>
        <item m="1" x="2476"/>
        <item m="1" x="2477"/>
        <item m="1" x="2478"/>
        <item m="1" x="2479"/>
        <item m="1" x="2554"/>
        <item m="1" x="2480"/>
        <item m="1" x="2555"/>
        <item m="1" x="2556"/>
        <item m="1" x="2557"/>
        <item m="1" x="2558"/>
        <item m="1" x="2559"/>
        <item m="1" x="2560"/>
        <item m="1" x="2481"/>
        <item m="1" x="2561"/>
        <item m="1" x="2482"/>
        <item m="1" x="2562"/>
        <item m="1" x="2483"/>
        <item m="1" x="2563"/>
        <item m="1" x="2484"/>
        <item m="1" x="2564"/>
        <item m="1" x="2485"/>
        <item m="1" x="2565"/>
        <item m="1" x="2486"/>
        <item m="1" x="2566"/>
        <item m="1" x="2487"/>
        <item m="1" x="2567"/>
        <item m="1" x="2488"/>
        <item m="1" x="2568"/>
        <item m="1" x="2489"/>
        <item m="1" x="2569"/>
        <item m="1" x="2490"/>
        <item m="1" x="2491"/>
        <item m="1" x="2570"/>
        <item m="1" x="2571"/>
        <item m="1" x="2492"/>
        <item m="1" x="257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73"/>
        <item m="1" x="2508"/>
        <item m="1" x="2509"/>
        <item m="1" x="2510"/>
        <item m="1" x="2511"/>
        <item m="1" x="2574"/>
        <item m="1" x="2512"/>
        <item m="1" x="2575"/>
        <item m="1" x="2513"/>
        <item m="1" x="2576"/>
        <item m="1" x="2577"/>
        <item m="1" x="2578"/>
        <item m="1" x="2579"/>
        <item m="1" x="2514"/>
        <item m="1" x="2515"/>
        <item m="1" x="2580"/>
        <item m="1" x="2516"/>
        <item m="1" x="2581"/>
        <item m="1" x="258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</items>
    </pivotField>
    <pivotField axis="axisRow" compact="0" outline="0" showAll="0" defaultSubtotal="0">
      <items count="347">
        <item m="1" x="235"/>
        <item m="1" x="278"/>
        <item m="1" x="343"/>
        <item m="1" x="28"/>
        <item m="1" x="80"/>
        <item m="1" x="314"/>
        <item m="1" x="315"/>
        <item m="1" x="316"/>
        <item m="1" x="313"/>
        <item m="1" x="323"/>
        <item m="1" x="324"/>
        <item m="1" x="325"/>
        <item x="24"/>
        <item m="1" x="329"/>
        <item x="25"/>
        <item m="1" x="327"/>
        <item m="1" x="326"/>
        <item x="26"/>
        <item m="1" x="319"/>
        <item m="1" x="318"/>
        <item m="1" x="317"/>
        <item m="1" x="322"/>
        <item m="1" x="320"/>
        <item m="1" x="321"/>
        <item m="1" x="240"/>
        <item m="1" x="69"/>
        <item m="1" x="70"/>
        <item m="1" x="67"/>
        <item m="1" x="68"/>
        <item x="8"/>
        <item m="1" x="267"/>
        <item m="1" x="71"/>
        <item m="1" x="72"/>
        <item x="7"/>
        <item m="1" x="56"/>
        <item m="1" x="335"/>
        <item m="1" x="211"/>
        <item m="1" x="268"/>
        <item m="1" x="283"/>
        <item m="1" x="197"/>
        <item m="1" x="89"/>
        <item m="1" x="61"/>
        <item m="1" x="212"/>
        <item m="1" x="209"/>
        <item m="1" x="280"/>
        <item m="1" x="296"/>
        <item m="1" x="233"/>
        <item m="1" x="289"/>
        <item m="1" x="276"/>
        <item m="1" x="202"/>
        <item m="1" x="255"/>
        <item m="1" x="200"/>
        <item m="1" x="274"/>
        <item m="1" x="219"/>
        <item x="13"/>
        <item x="6"/>
        <item m="1" x="206"/>
        <item m="1" x="231"/>
        <item m="1" x="75"/>
        <item x="3"/>
        <item m="1" x="336"/>
        <item m="1" x="207"/>
        <item m="1" x="199"/>
        <item m="1" x="279"/>
        <item m="1" x="203"/>
        <item m="1" x="232"/>
        <item m="1" x="216"/>
        <item m="1" x="308"/>
        <item m="1" x="341"/>
        <item m="1" x="210"/>
        <item m="1" x="229"/>
        <item m="1" x="282"/>
        <item x="9"/>
        <item m="1" x="275"/>
        <item m="1" x="285"/>
        <item x="17"/>
        <item m="1" x="302"/>
        <item m="1" x="284"/>
        <item x="4"/>
        <item m="1" x="205"/>
        <item m="1" x="237"/>
        <item m="1" x="60"/>
        <item m="1" x="286"/>
        <item m="1" x="301"/>
        <item m="1" x="270"/>
        <item m="1" x="201"/>
        <item m="1" x="196"/>
        <item m="1" x="243"/>
        <item m="1" x="217"/>
        <item m="1" x="220"/>
        <item m="1" x="92"/>
        <item m="1" x="90"/>
        <item m="1" x="91"/>
        <item m="1" x="345"/>
        <item m="1" x="330"/>
        <item m="1" x="344"/>
        <item m="1" x="346"/>
        <item m="1" x="331"/>
        <item x="1"/>
        <item x="11"/>
        <item m="1" x="245"/>
        <item m="1" x="333"/>
        <item m="1" x="332"/>
        <item x="14"/>
        <item m="1" x="224"/>
        <item m="1" x="273"/>
        <item m="1" x="340"/>
        <item m="1" x="94"/>
        <item m="1" x="95"/>
        <item m="1" x="93"/>
        <item m="1" x="272"/>
        <item x="19"/>
        <item m="1" x="254"/>
        <item m="1" x="226"/>
        <item m="1" x="287"/>
        <item x="18"/>
        <item m="1" x="334"/>
        <item m="1" x="242"/>
        <item m="1" x="213"/>
        <item m="1" x="277"/>
        <item x="15"/>
        <item m="1" x="244"/>
        <item m="1" x="223"/>
        <item m="1" x="100"/>
        <item m="1" x="265"/>
        <item x="5"/>
        <item m="1" x="239"/>
        <item m="1" x="39"/>
        <item m="1" x="297"/>
        <item m="1" x="292"/>
        <item m="1" x="291"/>
        <item m="1" x="294"/>
        <item m="1" x="290"/>
        <item m="1" x="79"/>
        <item m="1" x="339"/>
        <item m="1" x="218"/>
        <item x="2"/>
        <item x="12"/>
        <item m="1" x="41"/>
        <item m="1" x="117"/>
        <item m="1" x="175"/>
        <item m="1" x="59"/>
        <item m="1" x="129"/>
        <item m="1" x="191"/>
        <item m="1" x="118"/>
        <item m="1" x="186"/>
        <item m="1" x="214"/>
        <item m="1" x="176"/>
        <item m="1" x="131"/>
        <item m="1" x="130"/>
        <item m="1" x="166"/>
        <item m="1" x="241"/>
        <item m="1" x="266"/>
        <item m="1" x="155"/>
        <item m="1" x="31"/>
        <item m="1" x="44"/>
        <item m="1" x="178"/>
        <item m="1" x="106"/>
        <item m="1" x="169"/>
        <item m="1" x="147"/>
        <item m="1" x="247"/>
        <item m="1" x="30"/>
        <item m="1" x="43"/>
        <item m="1" x="177"/>
        <item m="1" x="132"/>
        <item m="1" x="256"/>
        <item m="1" x="304"/>
        <item m="1" x="168"/>
        <item m="1" x="154"/>
        <item m="1" x="32"/>
        <item m="1" x="179"/>
        <item m="1" x="133"/>
        <item m="1" x="123"/>
        <item m="1" x="124"/>
        <item m="1" x="107"/>
        <item m="1" x="170"/>
        <item m="1" x="34"/>
        <item m="1" x="33"/>
        <item sd="0" m="1" x="46"/>
        <item m="1" x="45"/>
        <item m="1" x="181"/>
        <item m="1" x="180"/>
        <item m="1" x="158"/>
        <item m="1" x="157"/>
        <item m="1" x="134"/>
        <item m="1" x="119"/>
        <item m="1" x="249"/>
        <item m="1" x="109"/>
        <item m="1" x="108"/>
        <item m="1" x="148"/>
        <item m="1" x="57"/>
        <item m="1" x="156"/>
        <item m="1" x="144"/>
        <item m="1" x="145"/>
        <item m="1" x="143"/>
        <item m="1" x="51"/>
        <item m="1" x="187"/>
        <item m="1" x="101"/>
        <item m="1" x="36"/>
        <item m="1" x="37"/>
        <item m="1" x="35"/>
        <item m="1" x="38"/>
        <item m="1" x="48"/>
        <item m="1" x="49"/>
        <item m="1" x="47"/>
        <item m="1" x="50"/>
        <item m="1" x="183"/>
        <item m="1" x="184"/>
        <item m="1" x="182"/>
        <item m="1" x="185"/>
        <item m="1" x="161"/>
        <item m="1" x="162"/>
        <item m="1" x="160"/>
        <item m="1" x="159"/>
        <item m="1" x="163"/>
        <item m="1" x="137"/>
        <item m="1" x="138"/>
        <item m="1" x="136"/>
        <item m="1" x="135"/>
        <item m="1" x="139"/>
        <item m="1" x="258"/>
        <item m="1" x="257"/>
        <item m="1" x="259"/>
        <item m="1" x="120"/>
        <item m="1" x="250"/>
        <item m="1" x="52"/>
        <item m="1" x="53"/>
        <item m="1" x="189"/>
        <item m="1" x="190"/>
        <item m="1" x="251"/>
        <item m="1" x="125"/>
        <item m="1" x="126"/>
        <item m="1" x="111"/>
        <item m="1" x="112"/>
        <item m="1" x="110"/>
        <item m="1" x="113"/>
        <item m="1" x="171"/>
        <item m="1" x="172"/>
        <item m="1" x="150"/>
        <item m="1" x="149"/>
        <item m="1" x="151"/>
        <item m="1" x="248"/>
        <item m="1" x="260"/>
        <item m="1" x="58"/>
        <item m="1" x="263"/>
        <item m="1" x="193"/>
        <item m="1" x="192"/>
        <item m="1" x="97"/>
        <item m="1" x="98"/>
        <item m="1" x="328"/>
        <item m="1" x="338"/>
        <item m="1" x="238"/>
        <item m="1" x="146"/>
        <item m="1" x="173"/>
        <item m="1" x="174"/>
        <item m="1" x="127"/>
        <item m="1" x="128"/>
        <item m="1" x="141"/>
        <item m="1" x="142"/>
        <item m="1" x="104"/>
        <item m="1" x="105"/>
        <item m="1" x="114"/>
        <item m="1" x="116"/>
        <item m="1" x="115"/>
        <item m="1" x="42"/>
        <item m="1" x="40"/>
        <item m="1" x="140"/>
        <item m="1" x="152"/>
        <item m="1" x="153"/>
        <item m="1" x="164"/>
        <item m="1" x="165"/>
        <item m="1" x="188"/>
        <item m="1" x="167"/>
        <item m="1" x="54"/>
        <item m="1" x="55"/>
        <item m="1" x="122"/>
        <item m="1" x="121"/>
        <item m="1" x="246"/>
        <item m="1" x="103"/>
        <item m="1" x="102"/>
        <item m="1" x="230"/>
        <item m="1" x="74"/>
        <item m="1" x="73"/>
        <item m="1" x="299"/>
        <item m="1" x="298"/>
        <item m="1" x="221"/>
        <item m="1" x="194"/>
        <item x="16"/>
        <item m="1" x="236"/>
        <item m="1" x="204"/>
        <item m="1" x="288"/>
        <item m="1" x="300"/>
        <item m="1" x="253"/>
        <item m="1" x="281"/>
        <item m="1" x="262"/>
        <item x="0"/>
        <item m="1" x="261"/>
        <item m="1" x="264"/>
        <item m="1" x="303"/>
        <item m="1" x="295"/>
        <item m="1" x="293"/>
        <item m="1" x="228"/>
        <item m="1" x="306"/>
        <item x="10"/>
        <item m="1" x="222"/>
        <item m="1" x="215"/>
        <item m="1" x="342"/>
        <item m="1" x="64"/>
        <item m="1" x="65"/>
        <item m="1" x="66"/>
        <item m="1" x="62"/>
        <item m="1" x="63"/>
        <item m="1" x="82"/>
        <item m="1" x="83"/>
        <item m="1" x="84"/>
        <item m="1" x="81"/>
        <item m="1" x="85"/>
        <item m="1" x="29"/>
        <item m="1" x="227"/>
        <item m="1" x="198"/>
        <item m="1" x="252"/>
        <item m="1" x="208"/>
        <item m="1" x="311"/>
        <item m="1" x="310"/>
        <item m="1" x="312"/>
        <item m="1" x="234"/>
        <item m="1" x="99"/>
        <item m="1" x="77"/>
        <item m="1" x="78"/>
        <item m="1" x="76"/>
        <item m="1" x="309"/>
        <item m="1" x="269"/>
        <item m="1" x="337"/>
        <item m="1" x="307"/>
        <item m="1" x="195"/>
        <item m="1" x="96"/>
        <item m="1" x="305"/>
        <item x="20"/>
        <item m="1" x="271"/>
        <item m="1" x="225"/>
        <item m="1" x="87"/>
        <item m="1" x="88"/>
        <item m="1" x="86"/>
        <item x="21"/>
        <item x="22"/>
        <item x="23"/>
        <item x="27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357">
        <item m="1" x="87"/>
        <item m="1" x="15"/>
        <item m="1" x="57"/>
        <item m="1" x="38"/>
        <item m="1" x="24"/>
        <item m="1" x="14"/>
        <item m="1" x="53"/>
        <item m="1" x="103"/>
        <item m="1" x="39"/>
        <item m="1" x="85"/>
        <item m="1" x="89"/>
        <item m="1" x="51"/>
        <item m="1" x="31"/>
        <item m="1" x="36"/>
        <item m="1" x="91"/>
        <item m="1" x="88"/>
        <item m="1" x="86"/>
        <item m="1" x="50"/>
        <item m="1" x="96"/>
        <item m="1" x="22"/>
        <item m="1" x="34"/>
        <item m="1" x="29"/>
        <item m="1" x="56"/>
        <item m="1" x="49"/>
        <item m="1" x="42"/>
        <item m="1" x="18"/>
        <item m="1" x="13"/>
        <item m="1" x="45"/>
        <item m="1" x="40"/>
        <item m="1" x="37"/>
        <item m="1" x="32"/>
        <item m="1" x="21"/>
        <item m="1" x="16"/>
        <item m="1" x="52"/>
        <item m="1" x="25"/>
        <item m="1" x="43"/>
        <item m="1" x="46"/>
        <item m="1" x="55"/>
        <item m="1" x="92"/>
        <item m="1" x="94"/>
        <item m="1" x="33"/>
        <item m="1" x="114"/>
        <item m="1" x="20"/>
        <item m="1" x="95"/>
        <item m="1" x="68"/>
        <item m="1" x="90"/>
        <item m="1" x="41"/>
        <item m="1" x="23"/>
        <item m="1" x="19"/>
        <item m="1" x="48"/>
        <item m="1" x="65"/>
        <item m="1" x="54"/>
        <item m="1" x="26"/>
        <item m="1" x="17"/>
        <item m="1" x="44"/>
        <item m="1" x="97"/>
        <item m="1" x="35"/>
        <item m="1" x="12"/>
        <item m="1" x="93"/>
        <item m="1" x="47"/>
        <item m="1" x="27"/>
        <item m="1" x="28"/>
        <item m="1" x="30"/>
        <item m="1" x="58"/>
        <item m="1" x="59"/>
        <item m="1" x="60"/>
        <item m="1" x="61"/>
        <item m="1" x="62"/>
        <item m="1" x="142"/>
        <item m="1" x="146"/>
        <item m="1" x="64"/>
        <item m="1" x="63"/>
        <item m="1" x="66"/>
        <item m="1" x="67"/>
        <item m="1" x="69"/>
        <item m="1" x="70"/>
        <item m="1" x="71"/>
        <item m="1" x="126"/>
        <item m="1" x="72"/>
        <item m="1" x="73"/>
        <item m="1" x="74"/>
        <item m="1" x="75"/>
        <item m="1" x="76"/>
        <item m="1" x="77"/>
        <item m="1" x="82"/>
        <item m="1" x="78"/>
        <item m="1" x="79"/>
        <item m="1" x="80"/>
        <item m="1" x="81"/>
        <item m="1" x="84"/>
        <item m="1" x="83"/>
        <item m="1" x="119"/>
        <item m="1" x="98"/>
        <item m="1" x="99"/>
        <item m="1" x="100"/>
        <item m="1" x="101"/>
        <item m="1" x="102"/>
        <item m="1" x="104"/>
        <item m="1" x="105"/>
        <item m="1" x="107"/>
        <item m="1" x="108"/>
        <item m="1" x="109"/>
        <item m="1" x="110"/>
        <item m="1" x="116"/>
        <item m="1" x="111"/>
        <item m="1" x="112"/>
        <item m="1" x="190"/>
        <item m="1" x="113"/>
        <item m="1" x="137"/>
        <item m="1" x="115"/>
        <item m="1" x="117"/>
        <item m="1" x="118"/>
        <item m="1" x="121"/>
        <item m="1" x="120"/>
        <item m="1" x="122"/>
        <item m="1" x="124"/>
        <item m="1" x="123"/>
        <item m="1" x="125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9"/>
        <item m="1" x="136"/>
        <item m="1" x="138"/>
        <item m="1" x="140"/>
        <item m="1" x="141"/>
        <item m="1" x="157"/>
        <item m="1" x="143"/>
        <item m="1" x="144"/>
        <item m="1" x="175"/>
        <item m="1" x="151"/>
        <item m="1" x="152"/>
        <item m="1" x="145"/>
        <item m="1" x="148"/>
        <item m="1" x="149"/>
        <item m="1" x="150"/>
        <item m="1" x="153"/>
        <item m="1" x="154"/>
        <item m="1" x="155"/>
        <item m="1" x="156"/>
        <item m="1" x="158"/>
        <item m="1" x="159"/>
        <item m="1" x="160"/>
        <item m="1" x="161"/>
        <item m="1" x="162"/>
        <item m="1" x="163"/>
        <item m="1" x="164"/>
        <item m="1" x="147"/>
        <item m="1" x="165"/>
        <item m="1" x="166"/>
        <item m="1" x="212"/>
        <item m="1" x="169"/>
        <item m="1" x="167"/>
        <item m="1" x="168"/>
        <item m="1" x="171"/>
        <item m="1" x="188"/>
        <item m="1" x="170"/>
        <item m="1" x="235"/>
        <item m="1" x="199"/>
        <item m="1" x="172"/>
        <item m="1" x="173"/>
        <item m="1" x="174"/>
        <item m="1" x="176"/>
        <item m="1" x="288"/>
        <item m="1" x="177"/>
        <item m="1" x="178"/>
        <item m="1" x="185"/>
        <item m="1" x="179"/>
        <item m="1" x="180"/>
        <item m="1" x="181"/>
        <item m="1" x="182"/>
        <item m="1" x="183"/>
        <item m="1" x="203"/>
        <item m="1" x="184"/>
        <item m="1" x="186"/>
        <item m="1" x="189"/>
        <item m="1" x="187"/>
        <item m="1" x="205"/>
        <item m="1" x="195"/>
        <item m="1" x="192"/>
        <item m="1" x="193"/>
        <item m="1" x="194"/>
        <item m="1" x="196"/>
        <item m="1" x="197"/>
        <item m="1" x="198"/>
        <item m="1" x="200"/>
        <item m="1" x="201"/>
        <item m="1" x="226"/>
        <item m="1" x="202"/>
        <item m="1" x="228"/>
        <item m="1" x="204"/>
        <item m="1" x="206"/>
        <item m="1" x="207"/>
        <item m="1" x="287"/>
        <item m="1" x="209"/>
        <item m="1" x="208"/>
        <item m="1" x="211"/>
        <item m="1" x="210"/>
        <item m="1" x="213"/>
        <item m="1" x="304"/>
        <item m="1" x="215"/>
        <item m="1" x="214"/>
        <item m="1" x="227"/>
        <item m="1" x="216"/>
        <item m="1" x="217"/>
        <item m="1" x="220"/>
        <item m="1" x="218"/>
        <item m="1" x="284"/>
        <item m="1" x="219"/>
        <item m="1" x="221"/>
        <item m="1" x="222"/>
        <item m="1" x="223"/>
        <item m="1" x="224"/>
        <item m="1" x="225"/>
        <item m="1" x="230"/>
        <item m="1" x="229"/>
        <item m="1" x="231"/>
        <item m="1" x="232"/>
        <item m="1" x="234"/>
        <item m="1" x="233"/>
        <item m="1" x="236"/>
        <item m="1" x="237"/>
        <item m="1" x="238"/>
        <item m="1" x="239"/>
        <item m="1" x="240"/>
        <item m="1" x="241"/>
        <item m="1" x="242"/>
        <item m="1" x="245"/>
        <item m="1" x="246"/>
        <item m="1" x="248"/>
        <item m="1" x="249"/>
        <item m="1" x="250"/>
        <item m="1" x="243"/>
        <item m="1" x="244"/>
        <item m="1" x="247"/>
        <item m="1" x="251"/>
        <item m="1" x="252"/>
        <item m="1" x="255"/>
        <item m="1" x="253"/>
        <item m="1" x="289"/>
        <item m="1" x="254"/>
        <item m="1" x="256"/>
        <item m="1" x="191"/>
        <item m="1" x="257"/>
        <item m="1" x="258"/>
        <item m="1" x="259"/>
        <item m="1" x="260"/>
        <item m="1" x="261"/>
        <item m="1" x="262"/>
        <item m="1" x="271"/>
        <item m="1" x="272"/>
        <item m="1" x="263"/>
        <item m="1" x="264"/>
        <item m="1" x="265"/>
        <item m="1" x="266"/>
        <item m="1" x="267"/>
        <item m="1" x="268"/>
        <item m="1" x="269"/>
        <item m="1" x="270"/>
        <item m="1" x="282"/>
        <item m="1" x="286"/>
        <item m="1" x="273"/>
        <item m="1" x="279"/>
        <item m="1" x="274"/>
        <item m="1" x="275"/>
        <item m="1" x="276"/>
        <item m="1" x="277"/>
        <item m="1" x="278"/>
        <item m="1" x="280"/>
        <item m="1" x="281"/>
        <item m="1" x="283"/>
        <item m="1" x="285"/>
        <item m="1" x="290"/>
        <item m="1" x="291"/>
        <item m="1" x="292"/>
        <item m="1" x="293"/>
        <item m="1" x="295"/>
        <item m="1" x="294"/>
        <item m="1" x="296"/>
        <item m="1" x="297"/>
        <item m="1" x="300"/>
        <item m="1" x="298"/>
        <item m="1" x="299"/>
        <item m="1" x="303"/>
        <item m="1" x="301"/>
        <item m="1" x="302"/>
        <item m="1" x="305"/>
        <item m="1" x="319"/>
        <item m="1" x="318"/>
        <item m="1" x="348"/>
        <item m="1" x="320"/>
        <item m="1" x="349"/>
        <item m="1" x="321"/>
        <item m="1" x="350"/>
        <item m="1" x="351"/>
        <item m="1" x="322"/>
        <item m="1" x="323"/>
        <item m="1" x="324"/>
        <item m="1" x="352"/>
        <item m="1" x="325"/>
        <item m="1" x="326"/>
        <item m="1" x="11"/>
        <item m="1" x="307"/>
        <item m="1" x="306"/>
        <item m="1" x="308"/>
        <item m="1" x="309"/>
        <item m="1" x="341"/>
        <item m="1" x="342"/>
        <item m="1" x="343"/>
        <item m="1" x="310"/>
        <item m="1" x="311"/>
        <item m="1" x="312"/>
        <item m="1" x="313"/>
        <item m="1" x="344"/>
        <item m="1" x="345"/>
        <item m="1" x="346"/>
        <item m="1" x="347"/>
        <item m="1" x="314"/>
        <item m="1" x="332"/>
        <item m="1" x="333"/>
        <item m="1" x="331"/>
        <item m="1" x="335"/>
        <item m="1" x="316"/>
        <item m="1" x="315"/>
        <item m="1" x="334"/>
        <item m="1" x="336"/>
        <item m="1" x="337"/>
        <item m="1" x="353"/>
        <item m="1" x="317"/>
        <item m="1" x="354"/>
        <item m="1" x="338"/>
        <item m="1" x="355"/>
        <item m="1" x="339"/>
        <item m="1" x="356"/>
        <item m="1" x="340"/>
        <item m="1" x="327"/>
        <item m="1" x="328"/>
        <item m="1" x="329"/>
        <item m="1" x="330"/>
        <item m="1" x="106"/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</pivotFields>
  <rowFields count="5">
    <field x="4"/>
    <field x="5"/>
    <field x="6"/>
    <field x="7"/>
    <field x="10"/>
  </rowFields>
  <rowItems count="68">
    <i>
      <x v="887"/>
      <x v="853"/>
      <x v="2515"/>
      <x v="295"/>
      <x v="346"/>
    </i>
    <i r="2">
      <x v="2516"/>
      <x v="98"/>
      <x v="346"/>
    </i>
    <i r="2">
      <x v="2517"/>
      <x v="136"/>
      <x v="346"/>
    </i>
    <i r="2">
      <x v="2518"/>
      <x v="59"/>
      <x v="346"/>
    </i>
    <i r="2">
      <x v="2519"/>
      <x v="78"/>
      <x v="346"/>
    </i>
    <i r="2">
      <x v="2520"/>
      <x v="125"/>
      <x v="346"/>
    </i>
    <i r="2">
      <x v="2521"/>
      <x v="55"/>
      <x v="346"/>
    </i>
    <i r="2">
      <x v="2522"/>
      <x v="33"/>
      <x v="346"/>
    </i>
    <i r="2">
      <x v="2523"/>
      <x v="33"/>
      <x v="346"/>
    </i>
    <i r="2">
      <x v="2524"/>
      <x v="29"/>
      <x v="346"/>
    </i>
    <i r="2">
      <x v="2525"/>
      <x v="72"/>
      <x v="346"/>
    </i>
    <i r="2">
      <x v="2526"/>
      <x v="303"/>
      <x v="346"/>
    </i>
    <i r="2">
      <x v="2527"/>
      <x v="55"/>
      <x v="346"/>
    </i>
    <i>
      <x v="888"/>
      <x v="854"/>
      <x v="2528"/>
      <x v="98"/>
      <x v="347"/>
    </i>
    <i r="2">
      <x v="2529"/>
      <x v="136"/>
      <x v="347"/>
    </i>
    <i r="2">
      <x v="2530"/>
      <x v="59"/>
      <x v="347"/>
    </i>
    <i r="2">
      <x v="2531"/>
      <x v="125"/>
      <x v="347"/>
    </i>
    <i r="2">
      <x v="2532"/>
      <x v="33"/>
      <x v="347"/>
    </i>
    <i>
      <x v="889"/>
      <x v="855"/>
      <x v="2533"/>
      <x v="99"/>
      <x v="348"/>
    </i>
    <i r="2">
      <x v="2534"/>
      <x v="137"/>
      <x v="348"/>
    </i>
    <i r="2">
      <x v="2535"/>
      <x v="55"/>
      <x v="348"/>
    </i>
    <i r="2">
      <x v="2536"/>
      <x v="54"/>
      <x v="348"/>
    </i>
    <i r="2">
      <x v="2537"/>
      <x v="55"/>
      <x v="348"/>
    </i>
    <i>
      <x v="890"/>
      <x v="856"/>
      <x v="2538"/>
      <x v="295"/>
      <x v="349"/>
    </i>
    <i r="2">
      <x v="2539"/>
      <x v="99"/>
      <x v="349"/>
    </i>
    <i r="2">
      <x v="2540"/>
      <x v="98"/>
      <x v="349"/>
    </i>
    <i r="2">
      <x v="2541"/>
      <x v="137"/>
      <x v="349"/>
    </i>
    <i r="2">
      <x v="2542"/>
      <x v="59"/>
      <x v="349"/>
    </i>
    <i r="2">
      <x v="2543"/>
      <x v="103"/>
      <x v="349"/>
    </i>
    <i r="2">
      <x v="2544"/>
      <x v="120"/>
      <x v="349"/>
    </i>
    <i r="2">
      <x v="2545"/>
      <x v="287"/>
      <x v="349"/>
    </i>
    <i r="2">
      <x v="2546"/>
      <x v="78"/>
      <x v="349"/>
    </i>
    <i r="2">
      <x v="2547"/>
      <x v="75"/>
      <x v="349"/>
    </i>
    <i r="2">
      <x v="2548"/>
      <x v="125"/>
      <x v="349"/>
    </i>
    <i r="2">
      <x v="2549"/>
      <x v="33"/>
      <x v="349"/>
    </i>
    <i r="2">
      <x v="2550"/>
      <x v="72"/>
      <x v="349"/>
    </i>
    <i r="2">
      <x v="2551"/>
      <x v="115"/>
      <x v="349"/>
    </i>
    <i r="2">
      <x v="2552"/>
      <x v="111"/>
      <x v="349"/>
    </i>
    <i r="2">
      <x v="2553"/>
      <x v="54"/>
      <x v="349"/>
    </i>
    <i r="2">
      <x v="2554"/>
      <x v="303"/>
      <x v="349"/>
    </i>
    <i r="2">
      <x v="2555"/>
      <x v="55"/>
      <x v="349"/>
    </i>
    <i>
      <x v="891"/>
      <x v="857"/>
      <x v="2556"/>
      <x v="99"/>
      <x v="350"/>
    </i>
    <i r="2">
      <x v="2557"/>
      <x v="137"/>
      <x v="350"/>
    </i>
    <i r="2">
      <x v="2558"/>
      <x v="59"/>
      <x v="350"/>
    </i>
    <i r="2">
      <x v="2559"/>
      <x v="33"/>
      <x v="350"/>
    </i>
    <i r="2">
      <x v="2560"/>
      <x v="337"/>
      <x v="350"/>
    </i>
    <i>
      <x v="892"/>
      <x v="858"/>
      <x v="2561"/>
      <x v="99"/>
      <x v="351"/>
    </i>
    <i r="2">
      <x v="2562"/>
      <x v="98"/>
      <x v="351"/>
    </i>
    <i r="2">
      <x v="2563"/>
      <x v="137"/>
      <x v="351"/>
    </i>
    <i r="2">
      <x v="2564"/>
      <x v="59"/>
      <x v="351"/>
    </i>
    <i r="2">
      <x v="2565"/>
      <x v="103"/>
      <x v="351"/>
    </i>
    <i r="2">
      <x v="2566"/>
      <x v="33"/>
      <x v="351"/>
    </i>
    <i r="2">
      <x v="2567"/>
      <x v="55"/>
      <x v="351"/>
    </i>
    <i>
      <x v="893"/>
      <x v="859"/>
      <x v="2568"/>
      <x v="99"/>
      <x v="352"/>
    </i>
    <i r="2">
      <x v="2569"/>
      <x v="98"/>
      <x v="352"/>
    </i>
    <i r="2">
      <x v="2570"/>
      <x v="137"/>
      <x v="352"/>
    </i>
    <i r="2">
      <x v="2571"/>
      <x v="59"/>
      <x v="352"/>
    </i>
    <i r="2">
      <x v="2572"/>
      <x v="103"/>
      <x v="352"/>
    </i>
    <i r="2">
      <x v="2573"/>
      <x v="125"/>
      <x v="352"/>
    </i>
    <i>
      <x v="894"/>
      <x v="860"/>
      <x v="2574"/>
      <x v="98"/>
      <x v="353"/>
    </i>
    <i>
      <x v="895"/>
      <x v="861"/>
      <x v="2575"/>
      <x v="343"/>
      <x v="354"/>
    </i>
    <i r="2">
      <x v="2576"/>
      <x v="344"/>
      <x v="354"/>
    </i>
    <i r="2">
      <x v="2577"/>
      <x v="345"/>
      <x v="354"/>
    </i>
    <i r="2">
      <x v="2578"/>
      <x v="12"/>
      <x v="354"/>
    </i>
    <i r="2">
      <x v="2579"/>
      <x v="14"/>
      <x v="354"/>
    </i>
    <i r="2">
      <x v="2580"/>
      <x v="17"/>
      <x v="354"/>
    </i>
    <i>
      <x v="896"/>
      <x v="862"/>
      <x v="2581"/>
      <x v="345"/>
      <x v="355"/>
    </i>
    <i>
      <x v="897"/>
      <x v="863"/>
      <x v="2582"/>
      <x v="346"/>
      <x v="356"/>
    </i>
  </rowItems>
  <colItems count="1">
    <i/>
  </colItems>
  <dataFields count="1">
    <dataField name="Sum of YTD TOTAL" fld="0" baseField="0" baseItem="0" numFmtId="168"/>
  </dataFields>
  <formats count="1">
    <format dxfId="16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2" cacheId="6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D3:K54" firstHeaderRow="1" firstDataRow="1" firstDataCol="7"/>
  <pivotFields count="18">
    <pivotField axis="axisRow" compact="0" outline="0" showAll="0" defaultSubtotal="0">
      <items count="6255">
        <item m="1" x="1973"/>
        <item m="1" x="51"/>
        <item m="1" x="3884"/>
        <item m="1" x="1974"/>
        <item m="1" x="3885"/>
        <item m="1" x="3886"/>
        <item m="1" x="52"/>
        <item m="1" x="53"/>
        <item m="1" x="1975"/>
        <item m="1" x="3887"/>
        <item m="1" x="54"/>
        <item m="1" x="1976"/>
        <item m="1" x="1977"/>
        <item m="1" x="55"/>
        <item m="1" x="3888"/>
        <item m="1" x="3889"/>
        <item m="1" x="1978"/>
        <item m="1" x="3890"/>
        <item m="1" x="1979"/>
        <item m="1" x="1980"/>
        <item m="1" x="1981"/>
        <item m="1" x="1982"/>
        <item m="1" x="3891"/>
        <item m="1" x="1983"/>
        <item m="1" x="56"/>
        <item m="1" x="3892"/>
        <item m="1" x="57"/>
        <item m="1" x="58"/>
        <item m="1" x="59"/>
        <item m="1" x="1984"/>
        <item m="1" x="1985"/>
        <item m="1" x="60"/>
        <item m="1" x="3893"/>
        <item m="1" x="61"/>
        <item m="1" x="3894"/>
        <item m="1" x="1986"/>
        <item m="1" x="1987"/>
        <item m="1" x="62"/>
        <item m="1" x="1988"/>
        <item m="1" x="3895"/>
        <item m="1" x="1989"/>
        <item m="1" x="3896"/>
        <item m="1" x="3897"/>
        <item m="1" x="63"/>
        <item m="1" x="1990"/>
        <item m="1" x="64"/>
        <item m="1" x="3898"/>
        <item m="1" x="65"/>
        <item m="1" x="66"/>
        <item m="1" x="3899"/>
        <item m="1" x="1991"/>
        <item m="1" x="67"/>
        <item m="1" x="1992"/>
        <item m="1" x="68"/>
        <item m="1" x="1993"/>
        <item m="1" x="3900"/>
        <item m="1" x="3901"/>
        <item m="1" x="1994"/>
        <item m="1" x="69"/>
        <item m="1" x="70"/>
        <item m="1" x="3902"/>
        <item m="1" x="71"/>
        <item m="1" x="3903"/>
        <item m="1" x="1995"/>
        <item m="1" x="3904"/>
        <item m="1" x="72"/>
        <item m="1" x="3905"/>
        <item m="1" x="1996"/>
        <item m="1" x="3906"/>
        <item m="1" x="73"/>
        <item m="1" x="74"/>
        <item m="1" x="75"/>
        <item m="1" x="3907"/>
        <item m="1" x="3908"/>
        <item m="1" x="3909"/>
        <item m="1" x="3910"/>
        <item m="1" x="76"/>
        <item m="1" x="1997"/>
        <item m="1" x="1998"/>
        <item m="1" x="1999"/>
        <item m="1" x="3911"/>
        <item m="1" x="2000"/>
        <item m="1" x="3912"/>
        <item m="1" x="2001"/>
        <item m="1" x="3913"/>
        <item m="1" x="77"/>
        <item m="1" x="78"/>
        <item m="1" x="3914"/>
        <item m="1" x="79"/>
        <item m="1" x="3915"/>
        <item m="1" x="80"/>
        <item m="1" x="81"/>
        <item m="1" x="2002"/>
        <item m="1" x="82"/>
        <item m="1" x="3916"/>
        <item m="1" x="2003"/>
        <item m="1" x="83"/>
        <item m="1" x="2004"/>
        <item m="1" x="3917"/>
        <item m="1" x="3918"/>
        <item m="1" x="84"/>
        <item m="1" x="2005"/>
        <item m="1" x="85"/>
        <item m="1" x="3919"/>
        <item m="1" x="86"/>
        <item m="1" x="87"/>
        <item m="1" x="3920"/>
        <item m="1" x="3921"/>
        <item m="1" x="3922"/>
        <item m="1" x="88"/>
        <item m="1" x="2006"/>
        <item m="1" x="89"/>
        <item m="1" x="2007"/>
        <item m="1" x="2008"/>
        <item m="1" x="90"/>
        <item m="1" x="91"/>
        <item m="1" x="2009"/>
        <item m="1" x="2010"/>
        <item m="1" x="2011"/>
        <item m="1" x="92"/>
        <item m="1" x="2012"/>
        <item m="1" x="93"/>
        <item m="1" x="2013"/>
        <item m="1" x="3923"/>
        <item m="1" x="94"/>
        <item m="1" x="3924"/>
        <item m="1" x="3925"/>
        <item m="1" x="2014"/>
        <item m="1" x="3926"/>
        <item m="1" x="3927"/>
        <item m="1" x="95"/>
        <item m="1" x="96"/>
        <item m="1" x="2015"/>
        <item m="1" x="2016"/>
        <item m="1" x="3928"/>
        <item m="1" x="3929"/>
        <item m="1" x="3930"/>
        <item m="1" x="97"/>
        <item m="1" x="98"/>
        <item m="1" x="99"/>
        <item m="1" x="100"/>
        <item m="1" x="3931"/>
        <item m="1" x="101"/>
        <item m="1" x="2017"/>
        <item m="1" x="102"/>
        <item m="1" x="3932"/>
        <item m="1" x="2018"/>
        <item m="1" x="3933"/>
        <item m="1" x="2019"/>
        <item m="1" x="3934"/>
        <item m="1" x="103"/>
        <item m="1" x="3935"/>
        <item m="1" x="3936"/>
        <item m="1" x="2020"/>
        <item m="1" x="2021"/>
        <item m="1" x="104"/>
        <item m="1" x="2022"/>
        <item m="1" x="2023"/>
        <item m="1" x="3937"/>
        <item m="1" x="3938"/>
        <item m="1" x="2024"/>
        <item m="1" x="105"/>
        <item m="1" x="2025"/>
        <item m="1" x="3939"/>
        <item m="1" x="106"/>
        <item m="1" x="3940"/>
        <item m="1" x="2026"/>
        <item m="1" x="2027"/>
        <item m="1" x="2028"/>
        <item m="1" x="107"/>
        <item m="1" x="3941"/>
        <item m="1" x="3942"/>
        <item m="1" x="3943"/>
        <item m="1" x="3944"/>
        <item m="1" x="2029"/>
        <item m="1" x="2030"/>
        <item m="1" x="2031"/>
        <item m="1" x="108"/>
        <item m="1" x="3945"/>
        <item m="1" x="2032"/>
        <item m="1" x="2033"/>
        <item m="1" x="109"/>
        <item m="1" x="3946"/>
        <item m="1" x="3947"/>
        <item m="1" x="110"/>
        <item m="1" x="3948"/>
        <item m="1" x="111"/>
        <item m="1" x="2034"/>
        <item m="1" x="112"/>
        <item m="1" x="113"/>
        <item m="1" x="114"/>
        <item m="1" x="115"/>
        <item m="1" x="116"/>
        <item m="1" x="117"/>
        <item m="1" x="3949"/>
        <item m="1" x="118"/>
        <item m="1" x="119"/>
        <item m="1" x="120"/>
        <item m="1" x="2035"/>
        <item m="1" x="121"/>
        <item m="1" x="2036"/>
        <item m="1" x="2037"/>
        <item m="1" x="3950"/>
        <item m="1" x="2038"/>
        <item m="1" x="122"/>
        <item m="1" x="123"/>
        <item m="1" x="2039"/>
        <item m="1" x="2040"/>
        <item m="1" x="3951"/>
        <item m="1" x="124"/>
        <item m="1" x="3952"/>
        <item m="1" x="125"/>
        <item m="1" x="2041"/>
        <item m="1" x="2042"/>
        <item m="1" x="3953"/>
        <item m="1" x="2043"/>
        <item m="1" x="2044"/>
        <item m="1" x="2045"/>
        <item m="1" x="3954"/>
        <item m="1" x="126"/>
        <item m="1" x="2046"/>
        <item m="1" x="2047"/>
        <item m="1" x="3955"/>
        <item m="1" x="127"/>
        <item m="1" x="128"/>
        <item m="1" x="129"/>
        <item m="1" x="3956"/>
        <item m="1" x="2048"/>
        <item m="1" x="3957"/>
        <item m="1" x="2049"/>
        <item m="1" x="2050"/>
        <item m="1" x="130"/>
        <item m="1" x="3958"/>
        <item m="1" x="2051"/>
        <item m="1" x="131"/>
        <item m="1" x="2052"/>
        <item m="1" x="2053"/>
        <item m="1" x="3959"/>
        <item m="1" x="132"/>
        <item m="1" x="3960"/>
        <item m="1" x="3961"/>
        <item m="1" x="3962"/>
        <item m="1" x="133"/>
        <item m="1" x="2054"/>
        <item m="1" x="134"/>
        <item m="1" x="2055"/>
        <item m="1" x="3963"/>
        <item m="1" x="3964"/>
        <item m="1" x="2056"/>
        <item m="1" x="135"/>
        <item m="1" x="2057"/>
        <item m="1" x="3965"/>
        <item m="1" x="136"/>
        <item m="1" x="137"/>
        <item m="1" x="3966"/>
        <item m="1" x="138"/>
        <item m="1" x="3967"/>
        <item m="1" x="3968"/>
        <item m="1" x="3969"/>
        <item m="1" x="2058"/>
        <item m="1" x="139"/>
        <item m="1" x="2059"/>
        <item m="1" x="140"/>
        <item m="1" x="2060"/>
        <item m="1" x="2061"/>
        <item m="1" x="2062"/>
        <item m="1" x="141"/>
        <item m="1" x="142"/>
        <item m="1" x="3970"/>
        <item m="1" x="3971"/>
        <item m="1" x="2063"/>
        <item m="1" x="2064"/>
        <item m="1" x="2065"/>
        <item m="1" x="2066"/>
        <item m="1" x="2067"/>
        <item m="1" x="143"/>
        <item m="1" x="2068"/>
        <item m="1" x="2069"/>
        <item m="1" x="144"/>
        <item m="1" x="145"/>
        <item m="1" x="146"/>
        <item m="1" x="3972"/>
        <item m="1" x="147"/>
        <item m="1" x="3973"/>
        <item m="1" x="148"/>
        <item m="1" x="3974"/>
        <item m="1" x="2070"/>
        <item m="1" x="2071"/>
        <item m="1" x="149"/>
        <item m="1" x="3975"/>
        <item m="1" x="3976"/>
        <item m="1" x="150"/>
        <item m="1" x="2072"/>
        <item m="1" x="151"/>
        <item m="1" x="152"/>
        <item m="1" x="3977"/>
        <item m="1" x="2073"/>
        <item m="1" x="153"/>
        <item m="1" x="2074"/>
        <item m="1" x="3978"/>
        <item m="1" x="2075"/>
        <item m="1" x="2076"/>
        <item m="1" x="3979"/>
        <item m="1" x="154"/>
        <item m="1" x="155"/>
        <item m="1" x="3980"/>
        <item m="1" x="2077"/>
        <item m="1" x="3981"/>
        <item m="1" x="3982"/>
        <item m="1" x="3983"/>
        <item m="1" x="156"/>
        <item m="1" x="2078"/>
        <item m="1" x="157"/>
        <item m="1" x="158"/>
        <item m="1" x="3984"/>
        <item m="1" x="2079"/>
        <item m="1" x="159"/>
        <item m="1" x="160"/>
        <item m="1" x="161"/>
        <item m="1" x="3985"/>
        <item m="1" x="162"/>
        <item m="1" x="3986"/>
        <item m="1" x="3987"/>
        <item m="1" x="2080"/>
        <item m="1" x="2081"/>
        <item m="1" x="2082"/>
        <item m="1" x="2083"/>
        <item m="1" x="163"/>
        <item m="1" x="2084"/>
        <item m="1" x="164"/>
        <item m="1" x="3988"/>
        <item m="1" x="165"/>
        <item m="1" x="2085"/>
        <item m="1" x="3989"/>
        <item m="1" x="166"/>
        <item m="1" x="167"/>
        <item m="1" x="3990"/>
        <item m="1" x="3991"/>
        <item m="1" x="168"/>
        <item m="1" x="169"/>
        <item m="1" x="2086"/>
        <item m="1" x="2087"/>
        <item m="1" x="170"/>
        <item m="1" x="171"/>
        <item m="1" x="3992"/>
        <item m="1" x="2088"/>
        <item m="1" x="3993"/>
        <item m="1" x="3994"/>
        <item m="1" x="172"/>
        <item m="1" x="3995"/>
        <item m="1" x="3996"/>
        <item m="1" x="3997"/>
        <item m="1" x="173"/>
        <item m="1" x="2089"/>
        <item m="1" x="2090"/>
        <item m="1" x="3998"/>
        <item m="1" x="3999"/>
        <item m="1" x="2091"/>
        <item m="1" x="174"/>
        <item m="1" x="175"/>
        <item m="1" x="2092"/>
        <item m="1" x="176"/>
        <item m="1" x="2093"/>
        <item m="1" x="177"/>
        <item m="1" x="2094"/>
        <item m="1" x="2095"/>
        <item m="1" x="2096"/>
        <item m="1" x="4000"/>
        <item m="1" x="2097"/>
        <item m="1" x="4001"/>
        <item m="1" x="178"/>
        <item m="1" x="4002"/>
        <item m="1" x="2098"/>
        <item m="1" x="4003"/>
        <item m="1" x="179"/>
        <item m="1" x="2099"/>
        <item m="1" x="2100"/>
        <item m="1" x="2101"/>
        <item m="1" x="2102"/>
        <item m="1" x="2103"/>
        <item m="1" x="180"/>
        <item m="1" x="2104"/>
        <item m="1" x="4004"/>
        <item m="1" x="4005"/>
        <item m="1" x="181"/>
        <item m="1" x="182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183"/>
        <item m="1" x="2105"/>
        <item m="1" x="4015"/>
        <item m="1" x="4016"/>
        <item m="1" x="184"/>
        <item m="1" x="185"/>
        <item m="1" x="4017"/>
        <item m="1" x="4018"/>
        <item m="1" x="2106"/>
        <item m="1" x="186"/>
        <item m="1" x="4019"/>
        <item m="1" x="2107"/>
        <item m="1" x="187"/>
        <item m="1" x="2108"/>
        <item m="1" x="4020"/>
        <item m="1" x="4021"/>
        <item m="1" x="2109"/>
        <item m="1" x="4022"/>
        <item m="1" x="2110"/>
        <item m="1" x="4023"/>
        <item m="1" x="188"/>
        <item m="1" x="4024"/>
        <item m="1" x="2111"/>
        <item m="1" x="2112"/>
        <item m="1" x="4025"/>
        <item m="1" x="189"/>
        <item m="1" x="4026"/>
        <item m="1" x="190"/>
        <item m="1" x="2113"/>
        <item m="1" x="191"/>
        <item m="1" x="2114"/>
        <item m="1" x="4027"/>
        <item m="1" x="4028"/>
        <item m="1" x="4029"/>
        <item m="1" x="192"/>
        <item m="1" x="2115"/>
        <item m="1" x="193"/>
        <item m="1" x="4030"/>
        <item m="1" x="2116"/>
        <item m="1" x="194"/>
        <item m="1" x="4031"/>
        <item m="1" x="195"/>
        <item m="1" x="4032"/>
        <item m="1" x="196"/>
        <item m="1" x="197"/>
        <item m="1" x="198"/>
        <item m="1" x="199"/>
        <item m="1" x="200"/>
        <item m="1" x="201"/>
        <item m="1" x="202"/>
        <item m="1" x="2117"/>
        <item m="1" x="4033"/>
        <item m="1" x="2118"/>
        <item m="1" x="203"/>
        <item m="1" x="2119"/>
        <item m="1" x="4034"/>
        <item m="1" x="4035"/>
        <item m="1" x="2120"/>
        <item m="1" x="204"/>
        <item m="1" x="2121"/>
        <item m="1" x="4036"/>
        <item m="1" x="4037"/>
        <item m="1" x="205"/>
        <item m="1" x="206"/>
        <item m="1" x="2122"/>
        <item m="1" x="207"/>
        <item m="1" x="208"/>
        <item m="1" x="4038"/>
        <item m="1" x="2123"/>
        <item m="1" x="4039"/>
        <item m="1" x="209"/>
        <item m="1" x="210"/>
        <item m="1" x="2124"/>
        <item m="1" x="4040"/>
        <item m="1" x="4041"/>
        <item m="1" x="2125"/>
        <item m="1" x="4042"/>
        <item m="1" x="2126"/>
        <item m="1" x="2127"/>
        <item m="1" x="2128"/>
        <item m="1" x="2129"/>
        <item m="1" x="2130"/>
        <item m="1" x="2131"/>
        <item m="1" x="4043"/>
        <item m="1" x="2132"/>
        <item m="1" x="211"/>
        <item m="1" x="212"/>
        <item m="1" x="2133"/>
        <item m="1" x="2134"/>
        <item m="1" x="2135"/>
        <item m="1" x="213"/>
        <item m="1" x="214"/>
        <item m="1" x="2136"/>
        <item m="1" x="4044"/>
        <item m="1" x="2137"/>
        <item m="1" x="4045"/>
        <item m="1" x="4046"/>
        <item m="1" x="215"/>
        <item m="1" x="2138"/>
        <item m="1" x="216"/>
        <item m="1" x="4047"/>
        <item m="1" x="2139"/>
        <item m="1" x="4048"/>
        <item m="1" x="217"/>
        <item m="1" x="2140"/>
        <item m="1" x="218"/>
        <item m="1" x="4049"/>
        <item m="1" x="4050"/>
        <item m="1" x="4051"/>
        <item m="1" x="4052"/>
        <item m="1" x="219"/>
        <item m="1" x="2141"/>
        <item m="1" x="2142"/>
        <item m="1" x="4053"/>
        <item m="1" x="4054"/>
        <item m="1" x="220"/>
        <item m="1" x="4055"/>
        <item m="1" x="4056"/>
        <item m="1" x="2143"/>
        <item m="1" x="4057"/>
        <item m="1" x="4058"/>
        <item m="1" x="2144"/>
        <item m="1" x="221"/>
        <item m="1" x="2145"/>
        <item m="1" x="222"/>
        <item m="1" x="223"/>
        <item m="1" x="4059"/>
        <item m="1" x="224"/>
        <item m="1" x="2146"/>
        <item m="1" x="4060"/>
        <item m="1" x="4061"/>
        <item m="1" x="225"/>
        <item m="1" x="4062"/>
        <item m="1" x="4063"/>
        <item m="1" x="4064"/>
        <item m="1" x="2147"/>
        <item m="1" x="4065"/>
        <item m="1" x="226"/>
        <item m="1" x="227"/>
        <item m="1" x="4066"/>
        <item m="1" x="4067"/>
        <item m="1" x="228"/>
        <item m="1" x="4068"/>
        <item m="1" x="229"/>
        <item m="1" x="230"/>
        <item m="1" x="2148"/>
        <item m="1" x="4069"/>
        <item m="1" x="4070"/>
        <item m="1" x="4071"/>
        <item m="1" x="231"/>
        <item m="1" x="2149"/>
        <item m="1" x="4072"/>
        <item m="1" x="4073"/>
        <item m="1" x="4074"/>
        <item m="1" x="232"/>
        <item m="1" x="2150"/>
        <item m="1" x="2151"/>
        <item m="1" x="2152"/>
        <item m="1" x="4075"/>
        <item m="1" x="4076"/>
        <item m="1" x="233"/>
        <item m="1" x="4077"/>
        <item m="1" x="2153"/>
        <item m="1" x="2154"/>
        <item m="1" x="2155"/>
        <item m="1" x="4078"/>
        <item m="1" x="2156"/>
        <item m="1" x="4079"/>
        <item m="1" x="234"/>
        <item m="1" x="2157"/>
        <item m="1" x="4080"/>
        <item m="1" x="4081"/>
        <item m="1" x="4082"/>
        <item m="1" x="4083"/>
        <item m="1" x="235"/>
        <item m="1" x="4084"/>
        <item m="1" x="2158"/>
        <item m="1" x="2159"/>
        <item m="1" x="4085"/>
        <item m="1" x="236"/>
        <item m="1" x="4086"/>
        <item m="1" x="2160"/>
        <item m="1" x="4087"/>
        <item m="1" x="237"/>
        <item m="1" x="2161"/>
        <item m="1" x="4088"/>
        <item m="1" x="4089"/>
        <item m="1" x="4090"/>
        <item m="1" x="4091"/>
        <item m="1" x="4092"/>
        <item m="1" x="238"/>
        <item m="1" x="2162"/>
        <item m="1" x="4093"/>
        <item m="1" x="4094"/>
        <item m="1" x="239"/>
        <item m="1" x="4095"/>
        <item m="1" x="240"/>
        <item m="1" x="2163"/>
        <item m="1" x="4096"/>
        <item m="1" x="4097"/>
        <item m="1" x="241"/>
        <item m="1" x="4098"/>
        <item m="1" x="2164"/>
        <item m="1" x="2165"/>
        <item m="1" x="2166"/>
        <item m="1" x="2167"/>
        <item m="1" x="2168"/>
        <item m="1" x="242"/>
        <item m="1" x="243"/>
        <item m="1" x="2169"/>
        <item m="1" x="2170"/>
        <item m="1" x="4099"/>
        <item m="1" x="2171"/>
        <item m="1" x="4100"/>
        <item m="1" x="244"/>
        <item m="1" x="245"/>
        <item m="1" x="246"/>
        <item m="1" x="2172"/>
        <item m="1" x="247"/>
        <item m="1" x="4101"/>
        <item m="1" x="248"/>
        <item m="1" x="2173"/>
        <item m="1" x="249"/>
        <item m="1" x="2174"/>
        <item m="1" x="250"/>
        <item m="1" x="4102"/>
        <item m="1" x="4103"/>
        <item m="1" x="251"/>
        <item m="1" x="252"/>
        <item m="1" x="2175"/>
        <item m="1" x="2176"/>
        <item m="1" x="253"/>
        <item m="1" x="254"/>
        <item m="1" x="255"/>
        <item m="1" x="2177"/>
        <item m="1" x="256"/>
        <item m="1" x="2178"/>
        <item m="1" x="4104"/>
        <item m="1" x="2179"/>
        <item m="1" x="4105"/>
        <item m="1" x="2180"/>
        <item m="1" x="2181"/>
        <item m="1" x="257"/>
        <item m="1" x="4106"/>
        <item m="1" x="258"/>
        <item m="1" x="259"/>
        <item m="1" x="2182"/>
        <item m="1" x="260"/>
        <item m="1" x="2183"/>
        <item m="1" x="2184"/>
        <item m="1" x="261"/>
        <item m="1" x="262"/>
        <item m="1" x="263"/>
        <item m="1" x="4107"/>
        <item m="1" x="4108"/>
        <item m="1" x="264"/>
        <item m="1" x="4109"/>
        <item m="1" x="2185"/>
        <item m="1" x="2186"/>
        <item m="1" x="2187"/>
        <item m="1" x="2188"/>
        <item m="1" x="265"/>
        <item m="1" x="266"/>
        <item m="1" x="267"/>
        <item m="1" x="4110"/>
        <item m="1" x="2189"/>
        <item m="1" x="2190"/>
        <item m="1" x="4111"/>
        <item m="1" x="4112"/>
        <item m="1" x="2191"/>
        <item m="1" x="268"/>
        <item m="1" x="4113"/>
        <item m="1" x="4114"/>
        <item m="1" x="2192"/>
        <item m="1" x="2193"/>
        <item m="1" x="2194"/>
        <item m="1" x="4115"/>
        <item m="1" x="269"/>
        <item m="1" x="4116"/>
        <item m="1" x="270"/>
        <item m="1" x="4117"/>
        <item m="1" x="271"/>
        <item m="1" x="2195"/>
        <item m="1" x="2196"/>
        <item m="1" x="4118"/>
        <item m="1" x="2197"/>
        <item m="1" x="272"/>
        <item m="1" x="2198"/>
        <item m="1" x="273"/>
        <item m="1" x="274"/>
        <item m="1" x="4119"/>
        <item m="1" x="275"/>
        <item m="1" x="2199"/>
        <item m="1" x="4120"/>
        <item m="1" x="2200"/>
        <item m="1" x="2201"/>
        <item m="1" x="4121"/>
        <item m="1" x="4122"/>
        <item m="1" x="4123"/>
        <item m="1" x="276"/>
        <item m="1" x="277"/>
        <item m="1" x="4124"/>
        <item m="1" x="4125"/>
        <item m="1" x="4126"/>
        <item m="1" x="4127"/>
        <item m="1" x="278"/>
        <item m="1" x="4128"/>
        <item m="1" x="2202"/>
        <item m="1" x="2203"/>
        <item m="1" x="279"/>
        <item m="1" x="280"/>
        <item m="1" x="4129"/>
        <item m="1" x="2204"/>
        <item m="1" x="281"/>
        <item m="1" x="4130"/>
        <item m="1" x="2205"/>
        <item m="1" x="4131"/>
        <item m="1" x="282"/>
        <item m="1" x="283"/>
        <item m="1" x="2206"/>
        <item m="1" x="284"/>
        <item m="1" x="285"/>
        <item m="1" x="286"/>
        <item m="1" x="2207"/>
        <item m="1" x="4132"/>
        <item m="1" x="287"/>
        <item m="1" x="4133"/>
        <item m="1" x="2208"/>
        <item m="1" x="2209"/>
        <item m="1" x="4134"/>
        <item m="1" x="288"/>
        <item m="1" x="4135"/>
        <item m="1" x="289"/>
        <item m="1" x="290"/>
        <item m="1" x="291"/>
        <item m="1" x="4136"/>
        <item m="1" x="292"/>
        <item m="1" x="293"/>
        <item m="1" x="2210"/>
        <item m="1" x="294"/>
        <item m="1" x="2211"/>
        <item m="1" x="2212"/>
        <item m="1" x="295"/>
        <item m="1" x="4137"/>
        <item m="1" x="296"/>
        <item m="1" x="297"/>
        <item m="1" x="4138"/>
        <item m="1" x="4139"/>
        <item m="1" x="298"/>
        <item m="1" x="4140"/>
        <item m="1" x="4141"/>
        <item m="1" x="4142"/>
        <item m="1" x="4143"/>
        <item m="1" x="2213"/>
        <item m="1" x="299"/>
        <item m="1" x="2214"/>
        <item m="1" x="4144"/>
        <item m="1" x="4145"/>
        <item m="1" x="2215"/>
        <item m="1" x="4146"/>
        <item m="1" x="2216"/>
        <item m="1" x="4147"/>
        <item m="1" x="4148"/>
        <item m="1" x="4149"/>
        <item m="1" x="2217"/>
        <item m="1" x="2218"/>
        <item m="1" x="300"/>
        <item m="1" x="4150"/>
        <item m="1" x="2219"/>
        <item m="1" x="4151"/>
        <item m="1" x="4152"/>
        <item m="1" x="301"/>
        <item m="1" x="4153"/>
        <item m="1" x="302"/>
        <item m="1" x="303"/>
        <item m="1" x="2220"/>
        <item m="1" x="304"/>
        <item m="1" x="4154"/>
        <item m="1" x="4155"/>
        <item m="1" x="305"/>
        <item m="1" x="2221"/>
        <item m="1" x="306"/>
        <item m="1" x="4156"/>
        <item m="1" x="4157"/>
        <item m="1" x="4158"/>
        <item m="1" x="4159"/>
        <item m="1" x="2222"/>
        <item m="1" x="2223"/>
        <item m="1" x="2224"/>
        <item m="1" x="2225"/>
        <item m="1" x="4160"/>
        <item m="1" x="4161"/>
        <item m="1" x="2226"/>
        <item m="1" x="4162"/>
        <item m="1" x="4163"/>
        <item m="1" x="2227"/>
        <item m="1" x="307"/>
        <item m="1" x="308"/>
        <item m="1" x="309"/>
        <item m="1" x="310"/>
        <item m="1" x="2228"/>
        <item m="1" x="4164"/>
        <item m="1" x="311"/>
        <item m="1" x="2229"/>
        <item m="1" x="4165"/>
        <item m="1" x="312"/>
        <item m="1" x="4166"/>
        <item m="1" x="313"/>
        <item m="1" x="2230"/>
        <item m="1" x="2231"/>
        <item m="1" x="2232"/>
        <item m="1" x="2233"/>
        <item m="1" x="314"/>
        <item m="1" x="4167"/>
        <item m="1" x="2234"/>
        <item m="1" x="4168"/>
        <item m="1" x="315"/>
        <item m="1" x="2235"/>
        <item m="1" x="2236"/>
        <item m="1" x="2237"/>
        <item m="1" x="2238"/>
        <item m="1" x="2239"/>
        <item m="1" x="4169"/>
        <item m="1" x="4170"/>
        <item m="1" x="4171"/>
        <item m="1" x="2240"/>
        <item m="1" x="316"/>
        <item m="1" x="4172"/>
        <item m="1" x="2241"/>
        <item m="1" x="4173"/>
        <item m="1" x="4174"/>
        <item m="1" x="4175"/>
        <item m="1" x="4176"/>
        <item m="1" x="2242"/>
        <item m="1" x="317"/>
        <item m="1" x="4177"/>
        <item m="1" x="318"/>
        <item m="1" x="4178"/>
        <item m="1" x="319"/>
        <item m="1" x="320"/>
        <item m="1" x="4179"/>
        <item m="1" x="2243"/>
        <item m="1" x="2244"/>
        <item m="1" x="321"/>
        <item m="1" x="4180"/>
        <item m="1" x="2245"/>
        <item m="1" x="322"/>
        <item m="1" x="4181"/>
        <item m="1" x="4182"/>
        <item m="1" x="4183"/>
        <item m="1" x="2246"/>
        <item m="1" x="2247"/>
        <item m="1" x="4184"/>
        <item m="1" x="323"/>
        <item m="1" x="324"/>
        <item m="1" x="2248"/>
        <item m="1" x="4185"/>
        <item m="1" x="4186"/>
        <item m="1" x="2249"/>
        <item m="1" x="2250"/>
        <item m="1" x="4187"/>
        <item m="1" x="4188"/>
        <item m="1" x="4189"/>
        <item m="1" x="325"/>
        <item m="1" x="4190"/>
        <item m="1" x="2251"/>
        <item m="1" x="4191"/>
        <item m="1" x="2252"/>
        <item m="1" x="326"/>
        <item m="1" x="4192"/>
        <item m="1" x="2253"/>
        <item m="1" x="2254"/>
        <item m="1" x="2255"/>
        <item m="1" x="4193"/>
        <item m="1" x="327"/>
        <item m="1" x="4194"/>
        <item m="1" x="2256"/>
        <item m="1" x="4195"/>
        <item m="1" x="2257"/>
        <item m="1" x="2258"/>
        <item m="1" x="328"/>
        <item m="1" x="2259"/>
        <item m="1" x="329"/>
        <item m="1" x="2260"/>
        <item m="1" x="2261"/>
        <item m="1" x="2262"/>
        <item m="1" x="330"/>
        <item m="1" x="4196"/>
        <item m="1" x="2263"/>
        <item m="1" x="2264"/>
        <item m="1" x="331"/>
        <item m="1" x="2265"/>
        <item m="1" x="4197"/>
        <item m="1" x="4198"/>
        <item m="1" x="332"/>
        <item m="1" x="2266"/>
        <item m="1" x="4199"/>
        <item m="1" x="4200"/>
        <item m="1" x="333"/>
        <item m="1" x="2267"/>
        <item m="1" x="334"/>
        <item m="1" x="4201"/>
        <item m="1" x="335"/>
        <item m="1" x="336"/>
        <item m="1" x="4202"/>
        <item m="1" x="337"/>
        <item m="1" x="338"/>
        <item m="1" x="4203"/>
        <item m="1" x="339"/>
        <item m="1" x="4204"/>
        <item m="1" x="4205"/>
        <item m="1" x="4206"/>
        <item m="1" x="2268"/>
        <item m="1" x="4207"/>
        <item m="1" x="340"/>
        <item m="1" x="2269"/>
        <item m="1" x="341"/>
        <item m="1" x="342"/>
        <item m="1" x="343"/>
        <item m="1" x="344"/>
        <item m="1" x="345"/>
        <item m="1" x="2270"/>
        <item m="1" x="2271"/>
        <item m="1" x="346"/>
        <item m="1" x="347"/>
        <item m="1" x="4208"/>
        <item m="1" x="348"/>
        <item m="1" x="349"/>
        <item m="1" x="2272"/>
        <item m="1" x="2273"/>
        <item m="1" x="2274"/>
        <item m="1" x="2275"/>
        <item m="1" x="2276"/>
        <item m="1" x="4209"/>
        <item m="1" x="350"/>
        <item m="1" x="4210"/>
        <item m="1" x="4211"/>
        <item m="1" x="4212"/>
        <item m="1" x="4213"/>
        <item m="1" x="351"/>
        <item m="1" x="4214"/>
        <item m="1" x="4215"/>
        <item m="1" x="2277"/>
        <item m="1" x="4216"/>
        <item m="1" x="352"/>
        <item m="1" x="2278"/>
        <item m="1" x="353"/>
        <item m="1" x="4217"/>
        <item m="1" x="2279"/>
        <item m="1" x="2280"/>
        <item m="1" x="4218"/>
        <item m="1" x="354"/>
        <item m="1" x="4219"/>
        <item m="1" x="4220"/>
        <item m="1" x="355"/>
        <item m="1" x="356"/>
        <item m="1" x="2281"/>
        <item m="1" x="4221"/>
        <item m="1" x="4222"/>
        <item m="1" x="357"/>
        <item m="1" x="4223"/>
        <item m="1" x="358"/>
        <item m="1" x="2282"/>
        <item m="1" x="359"/>
        <item m="1" x="360"/>
        <item m="1" x="361"/>
        <item m="1" x="2283"/>
        <item m="1" x="4224"/>
        <item m="1" x="362"/>
        <item m="1" x="4225"/>
        <item m="1" x="363"/>
        <item m="1" x="4226"/>
        <item m="1" x="2284"/>
        <item m="1" x="364"/>
        <item m="1" x="4227"/>
        <item m="1" x="4228"/>
        <item m="1" x="4229"/>
        <item m="1" x="4230"/>
        <item m="1" x="365"/>
        <item m="1" x="2285"/>
        <item m="1" x="2286"/>
        <item m="1" x="366"/>
        <item m="1" x="2287"/>
        <item m="1" x="2288"/>
        <item m="1" x="4231"/>
        <item m="1" x="2289"/>
        <item m="1" x="367"/>
        <item m="1" x="4232"/>
        <item m="1" x="2290"/>
        <item m="1" x="4233"/>
        <item m="1" x="368"/>
        <item m="1" x="4234"/>
        <item m="1" x="2291"/>
        <item m="1" x="4235"/>
        <item m="1" x="369"/>
        <item m="1" x="4236"/>
        <item m="1" x="2292"/>
        <item m="1" x="370"/>
        <item m="1" x="2293"/>
        <item m="1" x="4237"/>
        <item m="1" x="4238"/>
        <item m="1" x="4239"/>
        <item m="1" x="2294"/>
        <item m="1" x="371"/>
        <item m="1" x="2295"/>
        <item m="1" x="4240"/>
        <item m="1" x="4241"/>
        <item m="1" x="4242"/>
        <item m="1" x="372"/>
        <item m="1" x="373"/>
        <item m="1" x="2296"/>
        <item m="1" x="2297"/>
        <item m="1" x="374"/>
        <item m="1" x="4243"/>
        <item m="1" x="4244"/>
        <item m="1" x="375"/>
        <item m="1" x="2298"/>
        <item m="1" x="2299"/>
        <item m="1" x="4245"/>
        <item m="1" x="4246"/>
        <item m="1" x="376"/>
        <item m="1" x="2300"/>
        <item m="1" x="377"/>
        <item m="1" x="4247"/>
        <item m="1" x="4248"/>
        <item m="1" x="4249"/>
        <item m="1" x="2301"/>
        <item m="1" x="2302"/>
        <item m="1" x="378"/>
        <item m="1" x="2303"/>
        <item m="1" x="379"/>
        <item m="1" x="380"/>
        <item m="1" x="4250"/>
        <item m="1" x="381"/>
        <item m="1" x="382"/>
        <item m="1" x="2304"/>
        <item m="1" x="4251"/>
        <item m="1" x="4252"/>
        <item m="1" x="2305"/>
        <item m="1" x="2306"/>
        <item m="1" x="2307"/>
        <item m="1" x="383"/>
        <item m="1" x="4253"/>
        <item m="1" x="4254"/>
        <item m="1" x="384"/>
        <item m="1" x="385"/>
        <item m="1" x="4255"/>
        <item m="1" x="2308"/>
        <item m="1" x="386"/>
        <item m="1" x="4256"/>
        <item m="1" x="4257"/>
        <item m="1" x="387"/>
        <item m="1" x="388"/>
        <item m="1" x="4258"/>
        <item m="1" x="4259"/>
        <item m="1" x="4260"/>
        <item m="1" x="389"/>
        <item m="1" x="2309"/>
        <item m="1" x="390"/>
        <item m="1" x="391"/>
        <item m="1" x="392"/>
        <item m="1" x="2310"/>
        <item m="1" x="2311"/>
        <item m="1" x="393"/>
        <item m="1" x="2312"/>
        <item m="1" x="394"/>
        <item m="1" x="395"/>
        <item m="1" x="396"/>
        <item m="1" x="2313"/>
        <item m="1" x="397"/>
        <item m="1" x="2314"/>
        <item m="1" x="2315"/>
        <item m="1" x="2316"/>
        <item m="1" x="2317"/>
        <item m="1" x="2318"/>
        <item m="1" x="398"/>
        <item m="1" x="399"/>
        <item m="1" x="2319"/>
        <item m="1" x="2320"/>
        <item m="1" x="400"/>
        <item m="1" x="4261"/>
        <item m="1" x="2321"/>
        <item m="1" x="2322"/>
        <item m="1" x="2323"/>
        <item m="1" x="4262"/>
        <item m="1" x="2324"/>
        <item m="1" x="401"/>
        <item m="1" x="4263"/>
        <item m="1" x="402"/>
        <item m="1" x="4264"/>
        <item m="1" x="4265"/>
        <item m="1" x="2325"/>
        <item m="1" x="403"/>
        <item m="1" x="404"/>
        <item m="1" x="2326"/>
        <item m="1" x="2327"/>
        <item m="1" x="2328"/>
        <item m="1" x="2329"/>
        <item m="1" x="405"/>
        <item m="1" x="2330"/>
        <item m="1" x="2331"/>
        <item m="1" x="406"/>
        <item m="1" x="2332"/>
        <item m="1" x="407"/>
        <item m="1" x="408"/>
        <item m="1" x="2333"/>
        <item m="1" x="2334"/>
        <item m="1" x="2335"/>
        <item m="1" x="4266"/>
        <item m="1" x="4267"/>
        <item m="1" x="4268"/>
        <item m="1" x="409"/>
        <item m="1" x="410"/>
        <item m="1" x="2336"/>
        <item m="1" x="411"/>
        <item m="1" x="2337"/>
        <item m="1" x="2338"/>
        <item m="1" x="2339"/>
        <item m="1" x="412"/>
        <item m="1" x="413"/>
        <item m="1" x="2340"/>
        <item m="1" x="4269"/>
        <item m="1" x="2341"/>
        <item m="1" x="4270"/>
        <item m="1" x="2342"/>
        <item m="1" x="414"/>
        <item m="1" x="2343"/>
        <item m="1" x="415"/>
        <item m="1" x="416"/>
        <item m="1" x="417"/>
        <item m="1" x="418"/>
        <item m="1" x="4271"/>
        <item m="1" x="2344"/>
        <item m="1" x="2345"/>
        <item m="1" x="419"/>
        <item m="1" x="420"/>
        <item m="1" x="2346"/>
        <item m="1" x="2347"/>
        <item m="1" x="2348"/>
        <item m="1" x="421"/>
        <item m="1" x="422"/>
        <item m="1" x="4272"/>
        <item m="1" x="4273"/>
        <item m="1" x="4274"/>
        <item m="1" x="423"/>
        <item m="1" x="424"/>
        <item m="1" x="4275"/>
        <item m="1" x="4276"/>
        <item m="1" x="2349"/>
        <item m="1" x="4277"/>
        <item m="1" x="4278"/>
        <item m="1" x="4279"/>
        <item m="1" x="4280"/>
        <item m="1" x="2350"/>
        <item m="1" x="2351"/>
        <item m="1" x="2352"/>
        <item m="1" x="4281"/>
        <item m="1" x="4282"/>
        <item m="1" x="2353"/>
        <item m="1" x="425"/>
        <item m="1" x="426"/>
        <item m="1" x="427"/>
        <item m="1" x="2354"/>
        <item m="1" x="4283"/>
        <item m="1" x="2355"/>
        <item m="1" x="2356"/>
        <item m="1" x="428"/>
        <item m="1" x="4284"/>
        <item m="1" x="429"/>
        <item m="1" x="4285"/>
        <item m="1" x="2357"/>
        <item m="1" x="4286"/>
        <item m="1" x="430"/>
        <item m="1" x="431"/>
        <item m="1" x="2358"/>
        <item m="1" x="432"/>
        <item m="1" x="433"/>
        <item m="1" x="4287"/>
        <item m="1" x="2359"/>
        <item m="1" x="4288"/>
        <item m="1" x="4289"/>
        <item m="1" x="2360"/>
        <item m="1" x="4290"/>
        <item m="1" x="2361"/>
        <item m="1" x="434"/>
        <item m="1" x="2362"/>
        <item m="1" x="435"/>
        <item m="1" x="2363"/>
        <item m="1" x="2364"/>
        <item m="1" x="2365"/>
        <item m="1" x="436"/>
        <item m="1" x="4291"/>
        <item m="1" x="2366"/>
        <item m="1" x="4292"/>
        <item m="1" x="437"/>
        <item m="1" x="2367"/>
        <item m="1" x="2368"/>
        <item m="1" x="438"/>
        <item m="1" x="4293"/>
        <item m="1" x="4294"/>
        <item m="1" x="439"/>
        <item m="1" x="440"/>
        <item m="1" x="4295"/>
        <item m="1" x="4296"/>
        <item m="1" x="441"/>
        <item m="1" x="2369"/>
        <item m="1" x="2370"/>
        <item m="1" x="442"/>
        <item m="1" x="443"/>
        <item m="1" x="2371"/>
        <item m="1" x="4297"/>
        <item m="1" x="4298"/>
        <item m="1" x="4299"/>
        <item m="1" x="2372"/>
        <item m="1" x="4300"/>
        <item m="1" x="4301"/>
        <item m="1" x="4302"/>
        <item m="1" x="2373"/>
        <item m="1" x="4303"/>
        <item m="1" x="2374"/>
        <item m="1" x="4304"/>
        <item m="1" x="4305"/>
        <item m="1" x="444"/>
        <item m="1" x="4306"/>
        <item m="1" x="445"/>
        <item m="1" x="2375"/>
        <item m="1" x="4307"/>
        <item m="1" x="2376"/>
        <item m="1" x="2377"/>
        <item m="1" x="2378"/>
        <item m="1" x="2379"/>
        <item m="1" x="446"/>
        <item m="1" x="2380"/>
        <item m="1" x="4308"/>
        <item m="1" x="447"/>
        <item m="1" x="2381"/>
        <item m="1" x="4309"/>
        <item m="1" x="4310"/>
        <item m="1" x="2382"/>
        <item m="1" x="448"/>
        <item m="1" x="4311"/>
        <item m="1" x="2383"/>
        <item m="1" x="2384"/>
        <item m="1" x="4312"/>
        <item m="1" x="2385"/>
        <item m="1" x="2386"/>
        <item m="1" x="449"/>
        <item m="1" x="4313"/>
        <item m="1" x="4314"/>
        <item m="1" x="4315"/>
        <item m="1" x="4316"/>
        <item m="1" x="450"/>
        <item m="1" x="4317"/>
        <item m="1" x="451"/>
        <item m="1" x="4318"/>
        <item m="1" x="452"/>
        <item m="1" x="4319"/>
        <item m="1" x="2387"/>
        <item m="1" x="453"/>
        <item m="1" x="454"/>
        <item m="1" x="2388"/>
        <item m="1" x="4320"/>
        <item m="1" x="2389"/>
        <item m="1" x="2390"/>
        <item m="1" x="2391"/>
        <item m="1" x="4321"/>
        <item m="1" x="455"/>
        <item m="1" x="4322"/>
        <item m="1" x="2392"/>
        <item m="1" x="456"/>
        <item m="1" x="457"/>
        <item m="1" x="2393"/>
        <item m="1" x="2394"/>
        <item m="1" x="458"/>
        <item m="1" x="4323"/>
        <item m="1" x="4324"/>
        <item m="1" x="2395"/>
        <item m="1" x="4325"/>
        <item m="1" x="2396"/>
        <item m="1" x="2397"/>
        <item m="1" x="2398"/>
        <item m="1" x="459"/>
        <item m="1" x="4326"/>
        <item m="1" x="2399"/>
        <item m="1" x="4327"/>
        <item m="1" x="460"/>
        <item m="1" x="461"/>
        <item m="1" x="462"/>
        <item m="1" x="2400"/>
        <item m="1" x="463"/>
        <item m="1" x="4328"/>
        <item m="1" x="464"/>
        <item m="1" x="2401"/>
        <item m="1" x="465"/>
        <item m="1" x="466"/>
        <item m="1" x="467"/>
        <item m="1" x="2402"/>
        <item m="1" x="2403"/>
        <item m="1" x="4329"/>
        <item m="1" x="2404"/>
        <item m="1" x="4330"/>
        <item m="1" x="2405"/>
        <item m="1" x="468"/>
        <item m="1" x="2406"/>
        <item m="1" x="469"/>
        <item m="1" x="2407"/>
        <item m="1" x="470"/>
        <item m="1" x="4331"/>
        <item m="1" x="2408"/>
        <item m="1" x="2409"/>
        <item m="1" x="471"/>
        <item m="1" x="2410"/>
        <item m="1" x="472"/>
        <item m="1" x="2411"/>
        <item m="1" x="4332"/>
        <item m="1" x="4333"/>
        <item m="1" x="2412"/>
        <item m="1" x="4334"/>
        <item m="1" x="2413"/>
        <item m="1" x="473"/>
        <item m="1" x="2414"/>
        <item m="1" x="2415"/>
        <item m="1" x="2416"/>
        <item m="1" x="2417"/>
        <item m="1" x="4335"/>
        <item m="1" x="4336"/>
        <item m="1" x="4337"/>
        <item m="1" x="474"/>
        <item m="1" x="2418"/>
        <item m="1" x="2419"/>
        <item m="1" x="4338"/>
        <item m="1" x="4339"/>
        <item m="1" x="2420"/>
        <item m="1" x="475"/>
        <item m="1" x="2421"/>
        <item m="1" x="4340"/>
        <item m="1" x="2422"/>
        <item m="1" x="476"/>
        <item m="1" x="2423"/>
        <item m="1" x="2424"/>
        <item m="1" x="477"/>
        <item m="1" x="4341"/>
        <item m="1" x="2425"/>
        <item m="1" x="478"/>
        <item m="1" x="479"/>
        <item m="1" x="480"/>
        <item m="1" x="2426"/>
        <item m="1" x="4342"/>
        <item m="1" x="481"/>
        <item m="1" x="482"/>
        <item m="1" x="4343"/>
        <item m="1" x="2427"/>
        <item m="1" x="2428"/>
        <item m="1" x="4344"/>
        <item m="1" x="4345"/>
        <item m="1" x="2429"/>
        <item m="1" x="2430"/>
        <item m="1" x="2431"/>
        <item m="1" x="483"/>
        <item m="1" x="484"/>
        <item m="1" x="485"/>
        <item m="1" x="4346"/>
        <item m="1" x="4347"/>
        <item m="1" x="2432"/>
        <item m="1" x="486"/>
        <item m="1" x="4348"/>
        <item m="1" x="4349"/>
        <item m="1" x="487"/>
        <item m="1" x="2433"/>
        <item m="1" x="2434"/>
        <item m="1" x="4350"/>
        <item m="1" x="488"/>
        <item m="1" x="489"/>
        <item m="1" x="4351"/>
        <item m="1" x="2435"/>
        <item m="1" x="4352"/>
        <item m="1" x="4353"/>
        <item m="1" x="2436"/>
        <item m="1" x="2437"/>
        <item m="1" x="2438"/>
        <item m="1" x="4354"/>
        <item m="1" x="2439"/>
        <item m="1" x="4355"/>
        <item m="1" x="490"/>
        <item m="1" x="2440"/>
        <item m="1" x="491"/>
        <item m="1" x="2441"/>
        <item m="1" x="4356"/>
        <item m="1" x="2442"/>
        <item m="1" x="4357"/>
        <item m="1" x="2443"/>
        <item m="1" x="492"/>
        <item m="1" x="2444"/>
        <item m="1" x="4358"/>
        <item m="1" x="4359"/>
        <item m="1" x="2445"/>
        <item m="1" x="2446"/>
        <item m="1" x="4360"/>
        <item m="1" x="2447"/>
        <item m="1" x="2448"/>
        <item m="1" x="4361"/>
        <item m="1" x="2449"/>
        <item m="1" x="4362"/>
        <item m="1" x="4363"/>
        <item m="1" x="4364"/>
        <item m="1" x="493"/>
        <item m="1" x="4365"/>
        <item m="1" x="4366"/>
        <item m="1" x="2450"/>
        <item m="1" x="494"/>
        <item m="1" x="4367"/>
        <item m="1" x="4368"/>
        <item m="1" x="4369"/>
        <item m="1" x="4370"/>
        <item m="1" x="2451"/>
        <item m="1" x="495"/>
        <item m="1" x="4371"/>
        <item m="1" x="496"/>
        <item m="1" x="2452"/>
        <item m="1" x="2453"/>
        <item m="1" x="497"/>
        <item m="1" x="2454"/>
        <item m="1" x="498"/>
        <item m="1" x="2455"/>
        <item m="1" x="4372"/>
        <item m="1" x="499"/>
        <item m="1" x="4373"/>
        <item m="1" x="4374"/>
        <item m="1" x="2456"/>
        <item m="1" x="500"/>
        <item m="1" x="4375"/>
        <item m="1" x="4376"/>
        <item m="1" x="501"/>
        <item m="1" x="4377"/>
        <item m="1" x="2457"/>
        <item m="1" x="502"/>
        <item m="1" x="2458"/>
        <item m="1" x="503"/>
        <item m="1" x="4378"/>
        <item m="1" x="2459"/>
        <item m="1" x="2460"/>
        <item m="1" x="504"/>
        <item m="1" x="505"/>
        <item m="1" x="4379"/>
        <item m="1" x="2461"/>
        <item m="1" x="2462"/>
        <item m="1" x="4380"/>
        <item m="1" x="2463"/>
        <item m="1" x="4381"/>
        <item m="1" x="506"/>
        <item m="1" x="2464"/>
        <item m="1" x="2465"/>
        <item m="1" x="507"/>
        <item m="1" x="4382"/>
        <item m="1" x="508"/>
        <item m="1" x="509"/>
        <item m="1" x="510"/>
        <item m="1" x="4383"/>
        <item m="1" x="4384"/>
        <item m="1" x="4385"/>
        <item m="1" x="511"/>
        <item m="1" x="2466"/>
        <item m="1" x="512"/>
        <item m="1" x="4386"/>
        <item m="1" x="2467"/>
        <item m="1" x="2468"/>
        <item m="1" x="4387"/>
        <item m="1" x="2469"/>
        <item m="1" x="513"/>
        <item m="1" x="514"/>
        <item m="1" x="4388"/>
        <item m="1" x="2470"/>
        <item m="1" x="2471"/>
        <item m="1" x="515"/>
        <item m="1" x="516"/>
        <item m="1" x="2472"/>
        <item m="1" x="2473"/>
        <item m="1" x="2474"/>
        <item m="1" x="4389"/>
        <item m="1" x="4390"/>
        <item m="1" x="2475"/>
        <item m="1" x="4391"/>
        <item m="1" x="4392"/>
        <item m="1" x="517"/>
        <item m="1" x="2476"/>
        <item m="1" x="518"/>
        <item m="1" x="519"/>
        <item m="1" x="520"/>
        <item m="1" x="521"/>
        <item m="1" x="2477"/>
        <item m="1" x="2478"/>
        <item m="1" x="522"/>
        <item m="1" x="4393"/>
        <item m="1" x="2479"/>
        <item m="1" x="2480"/>
        <item m="1" x="523"/>
        <item m="1" x="524"/>
        <item m="1" x="525"/>
        <item m="1" x="2481"/>
        <item m="1" x="2482"/>
        <item m="1" x="4394"/>
        <item m="1" x="2483"/>
        <item m="1" x="4395"/>
        <item m="1" x="4396"/>
        <item m="1" x="4397"/>
        <item m="1" x="4398"/>
        <item m="1" x="4399"/>
        <item m="1" x="526"/>
        <item m="1" x="4400"/>
        <item m="1" x="2484"/>
        <item m="1" x="527"/>
        <item m="1" x="4401"/>
        <item m="1" x="2485"/>
        <item m="1" x="2486"/>
        <item m="1" x="4402"/>
        <item m="1" x="4403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528"/>
        <item m="1" x="2487"/>
        <item m="1" x="4404"/>
        <item m="1" x="2488"/>
        <item m="1" x="4405"/>
        <item m="1" x="4406"/>
        <item m="1" x="4407"/>
        <item m="1" x="4408"/>
        <item m="1" x="4409"/>
        <item m="1" x="529"/>
        <item m="1" x="530"/>
        <item m="1" x="2489"/>
        <item m="1" x="2490"/>
        <item m="1" x="4410"/>
        <item m="1" x="2491"/>
        <item m="1" x="4411"/>
        <item m="1" x="531"/>
        <item m="1" x="2492"/>
        <item m="1" x="532"/>
        <item m="1" x="2493"/>
        <item m="1" x="2494"/>
        <item m="1" x="4412"/>
        <item m="1" x="533"/>
        <item m="1" x="534"/>
        <item m="1" x="4413"/>
        <item m="1" x="535"/>
        <item m="1" x="4414"/>
        <item m="1" x="4415"/>
        <item m="1" x="2495"/>
        <item m="1" x="2496"/>
        <item m="1" x="536"/>
        <item m="1" x="537"/>
        <item m="1" x="538"/>
        <item m="1" x="4416"/>
        <item m="1" x="4417"/>
        <item m="1" x="4418"/>
        <item m="1" x="539"/>
        <item m="1" x="4419"/>
        <item m="1" x="2497"/>
        <item m="1" x="2498"/>
        <item m="1" x="540"/>
        <item m="1" x="2499"/>
        <item m="1" x="4420"/>
        <item m="1" x="4421"/>
        <item m="1" x="2500"/>
        <item m="1" x="541"/>
        <item m="1" x="2501"/>
        <item m="1" x="542"/>
        <item m="1" x="4422"/>
        <item m="1" x="543"/>
        <item m="1" x="2502"/>
        <item m="1" x="2503"/>
        <item m="1" x="4423"/>
        <item m="1" x="4424"/>
        <item m="1" x="4425"/>
        <item m="1" x="544"/>
        <item m="1" x="545"/>
        <item m="1" x="2504"/>
        <item m="1" x="4426"/>
        <item m="1" x="2505"/>
        <item m="1" x="4427"/>
        <item m="1" x="4428"/>
        <item m="1" x="4429"/>
        <item m="1" x="546"/>
        <item m="1" x="2506"/>
        <item m="1" x="4430"/>
        <item m="1" x="547"/>
        <item m="1" x="548"/>
        <item m="1" x="549"/>
        <item m="1" x="2507"/>
        <item m="1" x="550"/>
        <item m="1" x="4431"/>
        <item m="1" x="2508"/>
        <item m="1" x="4432"/>
        <item m="1" x="2509"/>
        <item m="1" x="4433"/>
        <item m="1" x="4434"/>
        <item m="1" x="4435"/>
        <item m="1" x="551"/>
        <item m="1" x="2510"/>
        <item m="1" x="2511"/>
        <item m="1" x="552"/>
        <item m="1" x="4436"/>
        <item m="1" x="2512"/>
        <item m="1" x="2513"/>
        <item m="1" x="4437"/>
        <item m="1" x="4438"/>
        <item m="1" x="2514"/>
        <item m="1" x="2515"/>
        <item m="1" x="4439"/>
        <item m="1" x="553"/>
        <item m="1" x="554"/>
        <item m="1" x="4440"/>
        <item m="1" x="4441"/>
        <item m="1" x="2516"/>
        <item m="1" x="555"/>
        <item m="1" x="4442"/>
        <item m="1" x="4443"/>
        <item m="1" x="556"/>
        <item m="1" x="2517"/>
        <item m="1" x="2518"/>
        <item m="1" x="4444"/>
        <item m="1" x="2519"/>
        <item m="1" x="557"/>
        <item m="1" x="2520"/>
        <item m="1" x="2521"/>
        <item m="1" x="4445"/>
        <item m="1" x="558"/>
        <item m="1" x="2522"/>
        <item m="1" x="559"/>
        <item m="1" x="4446"/>
        <item m="1" x="4447"/>
        <item m="1" x="2523"/>
        <item m="1" x="560"/>
        <item m="1" x="2524"/>
        <item m="1" x="4448"/>
        <item m="1" x="2525"/>
        <item m="1" x="561"/>
        <item m="1" x="4449"/>
        <item m="1" x="562"/>
        <item m="1" x="563"/>
        <item m="1" x="2526"/>
        <item m="1" x="564"/>
        <item m="1" x="4450"/>
        <item m="1" x="565"/>
        <item m="1" x="566"/>
        <item m="1" x="4451"/>
        <item m="1" x="567"/>
        <item m="1" x="4452"/>
        <item m="1" x="568"/>
        <item m="1" x="569"/>
        <item m="1" x="2527"/>
        <item m="1" x="2528"/>
        <item m="1" x="4453"/>
        <item m="1" x="570"/>
        <item m="1" x="571"/>
        <item m="1" x="4454"/>
        <item m="1" x="572"/>
        <item m="1" x="2529"/>
        <item m="1" x="573"/>
        <item m="1" x="4455"/>
        <item m="1" x="2530"/>
        <item m="1" x="2531"/>
        <item m="1" x="574"/>
        <item m="1" x="2532"/>
        <item m="1" x="4456"/>
        <item m="1" x="4457"/>
        <item m="1" x="4458"/>
        <item m="1" x="575"/>
        <item m="1" x="2533"/>
        <item m="1" x="576"/>
        <item m="1" x="2534"/>
        <item m="1" x="4459"/>
        <item m="1" x="2535"/>
        <item m="1" x="577"/>
        <item m="1" x="2536"/>
        <item m="1" x="4460"/>
        <item m="1" x="578"/>
        <item m="1" x="579"/>
        <item m="1" x="4461"/>
        <item m="1" x="580"/>
        <item m="1" x="581"/>
        <item m="1" x="582"/>
        <item m="1" x="583"/>
        <item m="1" x="2537"/>
        <item m="1" x="4462"/>
        <item m="1" x="2538"/>
        <item m="1" x="4463"/>
        <item m="1" x="4464"/>
        <item m="1" x="584"/>
        <item m="1" x="2539"/>
        <item m="1" x="2540"/>
        <item m="1" x="4465"/>
        <item m="1" x="585"/>
        <item m="1" x="4466"/>
        <item m="1" x="2541"/>
        <item m="1" x="4467"/>
        <item m="1" x="586"/>
        <item m="1" x="587"/>
        <item m="1" x="2542"/>
        <item m="1" x="4468"/>
        <item m="1" x="4469"/>
        <item m="1" x="588"/>
        <item m="1" x="589"/>
        <item m="1" x="590"/>
        <item m="1" x="2543"/>
        <item m="1" x="591"/>
        <item m="1" x="592"/>
        <item m="1" x="4470"/>
        <item m="1" x="2544"/>
        <item m="1" x="593"/>
        <item m="1" x="594"/>
        <item m="1" x="595"/>
        <item m="1" x="596"/>
        <item m="1" x="4471"/>
        <item m="1" x="4472"/>
        <item m="1" x="2545"/>
        <item m="1" x="597"/>
        <item m="1" x="2546"/>
        <item m="1" x="4473"/>
        <item m="1" x="2547"/>
        <item m="1" x="598"/>
        <item m="1" x="599"/>
        <item m="1" x="2548"/>
        <item m="1" x="600"/>
        <item m="1" x="4474"/>
        <item m="1" x="4475"/>
        <item m="1" x="4476"/>
        <item m="1" x="2549"/>
        <item m="1" x="4477"/>
        <item m="1" x="2550"/>
        <item m="1" x="2551"/>
        <item m="1" x="2552"/>
        <item m="1" x="601"/>
        <item m="1" x="4478"/>
        <item m="1" x="4479"/>
        <item m="1" x="2553"/>
        <item m="1" x="602"/>
        <item m="1" x="2554"/>
        <item m="1" x="603"/>
        <item m="1" x="604"/>
        <item m="1" x="4480"/>
        <item m="1" x="605"/>
        <item m="1" x="4481"/>
        <item m="1" x="606"/>
        <item m="1" x="4482"/>
        <item m="1" x="607"/>
        <item m="1" x="2555"/>
        <item m="1" x="2556"/>
        <item m="1" x="608"/>
        <item m="1" x="2557"/>
        <item m="1" x="2558"/>
        <item m="1" x="609"/>
        <item m="1" x="4483"/>
        <item m="1" x="4484"/>
        <item m="1" x="2559"/>
        <item m="1" x="2560"/>
        <item m="1" x="4485"/>
        <item m="1" x="610"/>
        <item m="1" x="611"/>
        <item m="1" x="612"/>
        <item m="1" x="613"/>
        <item m="1" x="4486"/>
        <item m="1" x="4487"/>
        <item m="1" x="4488"/>
        <item m="1" x="2561"/>
        <item m="1" x="614"/>
        <item m="1" x="615"/>
        <item m="1" x="616"/>
        <item m="1" x="617"/>
        <item m="1" x="618"/>
        <item m="1" x="4489"/>
        <item m="1" x="2562"/>
        <item m="1" x="619"/>
        <item m="1" x="620"/>
        <item m="1" x="4490"/>
        <item m="1" x="4491"/>
        <item m="1" x="4492"/>
        <item m="1" x="621"/>
        <item m="1" x="4493"/>
        <item m="1" x="4494"/>
        <item m="1" x="2563"/>
        <item m="1" x="2564"/>
        <item m="1" x="2565"/>
        <item m="1" x="622"/>
        <item m="1" x="2566"/>
        <item m="1" x="4495"/>
        <item m="1" x="623"/>
        <item m="1" x="624"/>
        <item m="1" x="4496"/>
        <item m="1" x="625"/>
        <item m="1" x="4497"/>
        <item m="1" x="4498"/>
        <item m="1" x="626"/>
        <item m="1" x="627"/>
        <item m="1" x="628"/>
        <item m="1" x="2567"/>
        <item m="1" x="4499"/>
        <item m="1" x="2568"/>
        <item m="1" x="2569"/>
        <item m="1" x="629"/>
        <item m="1" x="630"/>
        <item m="1" x="4500"/>
        <item m="1" x="631"/>
        <item m="1" x="4501"/>
        <item m="1" x="4502"/>
        <item m="1" x="4503"/>
        <item m="1" x="2570"/>
        <item m="1" x="632"/>
        <item m="1" x="633"/>
        <item m="1" x="634"/>
        <item m="1" x="2571"/>
        <item m="1" x="2572"/>
        <item m="1" x="635"/>
        <item m="1" x="2573"/>
        <item m="1" x="4504"/>
        <item m="1" x="636"/>
        <item m="1" x="637"/>
        <item m="1" x="4505"/>
        <item m="1" x="638"/>
        <item m="1" x="639"/>
        <item m="1" x="2574"/>
        <item m="1" x="2575"/>
        <item m="1" x="2576"/>
        <item m="1" x="640"/>
        <item m="1" x="4506"/>
        <item m="1" x="641"/>
        <item m="1" x="642"/>
        <item m="1" x="4507"/>
        <item m="1" x="2577"/>
        <item m="1" x="2578"/>
        <item m="1" x="643"/>
        <item m="1" x="4508"/>
        <item m="1" x="644"/>
        <item m="1" x="2579"/>
        <item m="1" x="645"/>
        <item m="1" x="646"/>
        <item m="1" x="647"/>
        <item m="1" x="2580"/>
        <item m="1" x="648"/>
        <item m="1" x="649"/>
        <item m="1" x="2581"/>
        <item m="1" x="4509"/>
        <item m="1" x="4510"/>
        <item m="1" x="2582"/>
        <item m="1" x="2583"/>
        <item m="1" x="4511"/>
        <item m="1" x="2584"/>
        <item m="1" x="2585"/>
        <item m="1" x="2586"/>
        <item m="1" x="4512"/>
        <item m="1" x="2587"/>
        <item m="1" x="650"/>
        <item m="1" x="651"/>
        <item m="1" x="652"/>
        <item m="1" x="4513"/>
        <item m="1" x="653"/>
        <item m="1" x="654"/>
        <item m="1" x="2588"/>
        <item m="1" x="2589"/>
        <item m="1" x="2590"/>
        <item m="1" x="2591"/>
        <item m="1" x="655"/>
        <item m="1" x="2592"/>
        <item m="1" x="2593"/>
        <item m="1" x="4514"/>
        <item m="1" x="656"/>
        <item m="1" x="4515"/>
        <item m="1" x="4516"/>
        <item m="1" x="4517"/>
        <item m="1" x="2594"/>
        <item m="1" x="4518"/>
        <item m="1" x="4519"/>
        <item m="1" x="2595"/>
        <item m="1" x="2596"/>
        <item m="1" x="2597"/>
        <item m="1" x="2598"/>
        <item m="1" x="2599"/>
        <item m="1" x="4520"/>
        <item m="1" x="2600"/>
        <item m="1" x="4521"/>
        <item m="1" x="4522"/>
        <item m="1" x="657"/>
        <item m="1" x="658"/>
        <item m="1" x="4523"/>
        <item m="1" x="2601"/>
        <item m="1" x="2602"/>
        <item m="1" x="659"/>
        <item m="1" x="2603"/>
        <item m="1" x="4524"/>
        <item m="1" x="660"/>
        <item m="1" x="661"/>
        <item m="1" x="662"/>
        <item m="1" x="663"/>
        <item m="1" x="4525"/>
        <item m="1" x="4526"/>
        <item m="1" x="4527"/>
        <item m="1" x="4528"/>
        <item m="1" x="2604"/>
        <item m="1" x="2605"/>
        <item m="1" x="2606"/>
        <item m="1" x="664"/>
        <item m="1" x="2607"/>
        <item m="1" x="4529"/>
        <item m="1" x="665"/>
        <item m="1" x="4530"/>
        <item m="1" x="2608"/>
        <item m="1" x="666"/>
        <item m="1" x="4531"/>
        <item m="1" x="2609"/>
        <item m="1" x="667"/>
        <item m="1" x="668"/>
        <item m="1" x="4532"/>
        <item m="1" x="669"/>
        <item m="1" x="4533"/>
        <item m="1" x="4534"/>
        <item m="1" x="2610"/>
        <item m="1" x="4535"/>
        <item m="1" x="2611"/>
        <item m="1" x="4536"/>
        <item m="1" x="670"/>
        <item m="1" x="671"/>
        <item m="1" x="4537"/>
        <item m="1" x="4538"/>
        <item m="1" x="2612"/>
        <item m="1" x="2613"/>
        <item m="1" x="672"/>
        <item m="1" x="4539"/>
        <item m="1" x="4540"/>
        <item m="1" x="673"/>
        <item m="1" x="2614"/>
        <item m="1" x="4541"/>
        <item m="1" x="2615"/>
        <item m="1" x="674"/>
        <item m="1" x="2616"/>
        <item m="1" x="675"/>
        <item m="1" x="4542"/>
        <item m="1" x="676"/>
        <item m="1" x="2617"/>
        <item m="1" x="2618"/>
        <item m="1" x="2619"/>
        <item m="1" x="4543"/>
        <item m="1" x="4544"/>
        <item m="1" x="4545"/>
        <item m="1" x="4546"/>
        <item m="1" x="2620"/>
        <item m="1" x="2621"/>
        <item m="1" x="677"/>
        <item m="1" x="4547"/>
        <item m="1" x="678"/>
        <item m="1" x="679"/>
        <item m="1" x="4548"/>
        <item m="1" x="4549"/>
        <item m="1" x="680"/>
        <item m="1" x="4550"/>
        <item m="1" x="2622"/>
        <item m="1" x="4551"/>
        <item m="1" x="681"/>
        <item m="1" x="2623"/>
        <item m="1" x="2624"/>
        <item m="1" x="2625"/>
        <item m="1" x="682"/>
        <item m="1" x="2626"/>
        <item m="1" x="4552"/>
        <item m="1" x="4553"/>
        <item m="1" x="4554"/>
        <item m="1" x="2627"/>
        <item m="1" x="683"/>
        <item m="1" x="2628"/>
        <item m="1" x="2629"/>
        <item m="1" x="684"/>
        <item m="1" x="685"/>
        <item m="1" x="4555"/>
        <item m="1" x="2630"/>
        <item m="1" x="686"/>
        <item m="1" x="687"/>
        <item m="1" x="688"/>
        <item m="1" x="689"/>
        <item m="1" x="690"/>
        <item m="1" x="2631"/>
        <item m="1" x="2632"/>
        <item m="1" x="2633"/>
        <item m="1" x="2634"/>
        <item m="1" x="4556"/>
        <item m="1" x="2635"/>
        <item m="1" x="2636"/>
        <item m="1" x="2637"/>
        <item m="1" x="691"/>
        <item m="1" x="692"/>
        <item m="1" x="4557"/>
        <item m="1" x="4558"/>
        <item m="1" x="2638"/>
        <item m="1" x="2639"/>
        <item m="1" x="4559"/>
        <item m="1" x="2640"/>
        <item m="1" x="2641"/>
        <item m="1" x="2642"/>
        <item m="1" x="693"/>
        <item m="1" x="4560"/>
        <item m="1" x="4561"/>
        <item m="1" x="2643"/>
        <item m="1" x="694"/>
        <item m="1" x="4562"/>
        <item m="1" x="695"/>
        <item m="1" x="696"/>
        <item m="1" x="4563"/>
        <item m="1" x="2644"/>
        <item m="1" x="4564"/>
        <item m="1" x="697"/>
        <item m="1" x="698"/>
        <item m="1" x="699"/>
        <item m="1" x="4565"/>
        <item m="1" x="700"/>
        <item m="1" x="4566"/>
        <item m="1" x="2645"/>
        <item m="1" x="701"/>
        <item m="1" x="4567"/>
        <item m="1" x="4568"/>
        <item m="1" x="702"/>
        <item m="1" x="4569"/>
        <item m="1" x="4570"/>
        <item m="1" x="2646"/>
        <item m="1" x="2647"/>
        <item m="1" x="703"/>
        <item m="1" x="704"/>
        <item m="1" x="2648"/>
        <item m="1" x="4571"/>
        <item m="1" x="2649"/>
        <item m="1" x="2650"/>
        <item m="1" x="2651"/>
        <item m="1" x="705"/>
        <item m="1" x="2652"/>
        <item m="1" x="706"/>
        <item m="1" x="707"/>
        <item m="1" x="708"/>
        <item m="1" x="2653"/>
        <item m="1" x="4572"/>
        <item m="1" x="2654"/>
        <item m="1" x="4573"/>
        <item m="1" x="2655"/>
        <item m="1" x="2656"/>
        <item m="1" x="2657"/>
        <item m="1" x="4574"/>
        <item m="1" x="709"/>
        <item m="1" x="710"/>
        <item m="1" x="2658"/>
        <item m="1" x="711"/>
        <item m="1" x="2659"/>
        <item m="1" x="712"/>
        <item m="1" x="4575"/>
        <item m="1" x="713"/>
        <item m="1" x="4576"/>
        <item m="1" x="2660"/>
        <item m="1" x="2661"/>
        <item m="1" x="714"/>
        <item m="1" x="715"/>
        <item m="1" x="716"/>
        <item m="1" x="4577"/>
        <item m="1" x="717"/>
        <item m="1" x="4578"/>
        <item m="1" x="718"/>
        <item m="1" x="2662"/>
        <item m="1" x="4579"/>
        <item m="1" x="4580"/>
        <item m="1" x="2663"/>
        <item m="1" x="2664"/>
        <item m="1" x="2665"/>
        <item m="1" x="2666"/>
        <item m="1" x="4581"/>
        <item m="1" x="719"/>
        <item m="1" x="720"/>
        <item m="1" x="2667"/>
        <item m="1" x="4582"/>
        <item m="1" x="4583"/>
        <item m="1" x="721"/>
        <item m="1" x="4584"/>
        <item m="1" x="722"/>
        <item m="1" x="2668"/>
        <item m="1" x="4585"/>
        <item m="1" x="4586"/>
        <item m="1" x="723"/>
        <item m="1" x="2669"/>
        <item m="1" x="4587"/>
        <item m="1" x="2670"/>
        <item m="1" x="4588"/>
        <item m="1" x="4589"/>
        <item m="1" x="4590"/>
        <item m="1" x="724"/>
        <item m="1" x="4591"/>
        <item m="1" x="725"/>
        <item m="1" x="4592"/>
        <item m="1" x="726"/>
        <item m="1" x="2671"/>
        <item m="1" x="2672"/>
        <item m="1" x="727"/>
        <item m="1" x="728"/>
        <item m="1" x="729"/>
        <item m="1" x="4593"/>
        <item m="1" x="4594"/>
        <item m="1" x="730"/>
        <item m="1" x="2673"/>
        <item m="1" x="4595"/>
        <item m="1" x="731"/>
        <item m="1" x="4596"/>
        <item m="1" x="732"/>
        <item m="1" x="2674"/>
        <item m="1" x="733"/>
        <item m="1" x="4597"/>
        <item m="1" x="2675"/>
        <item m="1" x="2676"/>
        <item m="1" x="4598"/>
        <item m="1" x="734"/>
        <item m="1" x="2677"/>
        <item m="1" x="4599"/>
        <item m="1" x="4600"/>
        <item m="1" x="4601"/>
        <item m="1" x="4602"/>
        <item m="1" x="4603"/>
        <item m="1" x="735"/>
        <item m="1" x="4604"/>
        <item m="1" x="736"/>
        <item m="1" x="2678"/>
        <item m="1" x="2679"/>
        <item m="1" x="2680"/>
        <item m="1" x="2681"/>
        <item m="1" x="4605"/>
        <item m="1" x="4606"/>
        <item m="1" x="4607"/>
        <item m="1" x="2682"/>
        <item m="1" x="737"/>
        <item m="1" x="738"/>
        <item m="1" x="739"/>
        <item m="1" x="740"/>
        <item m="1" x="4608"/>
        <item m="1" x="4609"/>
        <item m="1" x="741"/>
        <item m="1" x="742"/>
        <item m="1" x="743"/>
        <item m="1" x="4610"/>
        <item m="1" x="4611"/>
        <item m="1" x="2683"/>
        <item m="1" x="744"/>
        <item m="1" x="745"/>
        <item m="1" x="4612"/>
        <item m="1" x="2684"/>
        <item m="1" x="746"/>
        <item m="1" x="4613"/>
        <item m="1" x="4614"/>
        <item m="1" x="2685"/>
        <item m="1" x="747"/>
        <item m="1" x="2686"/>
        <item m="1" x="748"/>
        <item m="1" x="4615"/>
        <item m="1" x="4616"/>
        <item m="1" x="4617"/>
        <item m="1" x="2687"/>
        <item m="1" x="2688"/>
        <item m="1" x="4618"/>
        <item m="1" x="749"/>
        <item m="1" x="750"/>
        <item m="1" x="751"/>
        <item m="1" x="752"/>
        <item m="1" x="753"/>
        <item m="1" x="754"/>
        <item m="1" x="2689"/>
        <item m="1" x="4619"/>
        <item m="1" x="4620"/>
        <item m="1" x="4621"/>
        <item m="1" x="4622"/>
        <item m="1" x="755"/>
        <item m="1" x="2690"/>
        <item m="1" x="2691"/>
        <item m="1" x="756"/>
        <item m="1" x="2692"/>
        <item m="1" x="2693"/>
        <item m="1" x="757"/>
        <item m="1" x="4623"/>
        <item m="1" x="2694"/>
        <item m="1" x="2695"/>
        <item m="1" x="758"/>
        <item m="1" x="759"/>
        <item m="1" x="2696"/>
        <item m="1" x="4624"/>
        <item m="1" x="2697"/>
        <item m="1" x="760"/>
        <item m="1" x="4625"/>
        <item m="1" x="4626"/>
        <item m="1" x="4627"/>
        <item m="1" x="761"/>
        <item m="1" x="2698"/>
        <item m="1" x="4628"/>
        <item m="1" x="762"/>
        <item m="1" x="4629"/>
        <item m="1" x="2699"/>
        <item m="1" x="4630"/>
        <item m="1" x="763"/>
        <item m="1" x="2700"/>
        <item m="1" x="764"/>
        <item m="1" x="765"/>
        <item m="1" x="4631"/>
        <item m="1" x="2701"/>
        <item m="1" x="766"/>
        <item m="1" x="4632"/>
        <item m="1" x="4633"/>
        <item m="1" x="4634"/>
        <item m="1" x="2702"/>
        <item m="1" x="767"/>
        <item m="1" x="768"/>
        <item m="1" x="4635"/>
        <item m="1" x="2703"/>
        <item m="1" x="769"/>
        <item m="1" x="770"/>
        <item m="1" x="4636"/>
        <item m="1" x="4637"/>
        <item m="1" x="771"/>
        <item m="1" x="772"/>
        <item m="1" x="773"/>
        <item m="1" x="4638"/>
        <item m="1" x="774"/>
        <item m="1" x="2704"/>
        <item m="1" x="775"/>
        <item m="1" x="2705"/>
        <item m="1" x="776"/>
        <item m="1" x="777"/>
        <item m="1" x="4639"/>
        <item m="1" x="4640"/>
        <item m="1" x="778"/>
        <item m="1" x="2706"/>
        <item m="1" x="4641"/>
        <item m="1" x="4642"/>
        <item m="1" x="4643"/>
        <item m="1" x="4644"/>
        <item m="1" x="2707"/>
        <item m="1" x="2708"/>
        <item m="1" x="779"/>
        <item m="1" x="4645"/>
        <item m="1" x="4646"/>
        <item m="1" x="2709"/>
        <item m="1" x="4647"/>
        <item m="1" x="2710"/>
        <item m="1" x="4648"/>
        <item m="1" x="780"/>
        <item m="1" x="4649"/>
        <item m="1" x="4650"/>
        <item m="1" x="2711"/>
        <item m="1" x="4651"/>
        <item m="1" x="4652"/>
        <item m="1" x="781"/>
        <item m="1" x="4653"/>
        <item m="1" x="4654"/>
        <item m="1" x="782"/>
        <item m="1" x="2712"/>
        <item m="1" x="4655"/>
        <item m="1" x="2713"/>
        <item m="1" x="2714"/>
        <item m="1" x="783"/>
        <item m="1" x="2715"/>
        <item m="1" x="2716"/>
        <item m="1" x="784"/>
        <item m="1" x="785"/>
        <item m="1" x="2717"/>
        <item m="1" x="786"/>
        <item m="1" x="2718"/>
        <item m="1" x="787"/>
        <item m="1" x="2719"/>
        <item m="1" x="788"/>
        <item m="1" x="2720"/>
        <item m="1" x="2721"/>
        <item m="1" x="2722"/>
        <item m="1" x="2723"/>
        <item m="1" x="2724"/>
        <item m="1" x="2725"/>
        <item m="1" x="4656"/>
        <item m="1" x="4657"/>
        <item m="1" x="4658"/>
        <item m="1" x="2726"/>
        <item m="1" x="2727"/>
        <item m="1" x="4659"/>
        <item m="1" x="4660"/>
        <item m="1" x="789"/>
        <item m="1" x="2728"/>
        <item m="1" x="4661"/>
        <item m="1" x="4662"/>
        <item m="1" x="790"/>
        <item m="1" x="791"/>
        <item m="1" x="2729"/>
        <item m="1" x="792"/>
        <item m="1" x="4663"/>
        <item m="1" x="4664"/>
        <item m="1" x="4665"/>
        <item m="1" x="2730"/>
        <item m="1" x="2731"/>
        <item m="1" x="2732"/>
        <item m="1" x="793"/>
        <item m="1" x="794"/>
        <item m="1" x="4666"/>
        <item m="1" x="4667"/>
        <item m="1" x="795"/>
        <item m="1" x="2733"/>
        <item m="1" x="4668"/>
        <item m="1" x="2734"/>
        <item m="1" x="796"/>
        <item m="1" x="2735"/>
        <item m="1" x="4669"/>
        <item m="1" x="797"/>
        <item m="1" x="4670"/>
        <item m="1" x="798"/>
        <item m="1" x="4671"/>
        <item m="1" x="799"/>
        <item m="1" x="4672"/>
        <item m="1" x="4673"/>
        <item m="1" x="4674"/>
        <item m="1" x="4675"/>
        <item m="1" x="800"/>
        <item m="1" x="2736"/>
        <item m="1" x="4676"/>
        <item m="1" x="4677"/>
        <item m="1" x="4678"/>
        <item m="1" x="4679"/>
        <item m="1" x="4680"/>
        <item m="1" x="2737"/>
        <item m="1" x="4681"/>
        <item m="1" x="801"/>
        <item m="1" x="802"/>
        <item m="1" x="4682"/>
        <item m="1" x="4683"/>
        <item m="1" x="4684"/>
        <item m="1" x="4685"/>
        <item m="1" x="4686"/>
        <item m="1" x="803"/>
        <item m="1" x="4687"/>
        <item m="1" x="804"/>
        <item m="1" x="805"/>
        <item m="1" x="806"/>
        <item m="1" x="4688"/>
        <item m="1" x="4689"/>
        <item m="1" x="4690"/>
        <item m="1" x="2738"/>
        <item m="1" x="2739"/>
        <item m="1" x="2740"/>
        <item m="1" x="807"/>
        <item m="1" x="808"/>
        <item m="1" x="2741"/>
        <item m="1" x="809"/>
        <item m="1" x="4691"/>
        <item m="1" x="4692"/>
        <item m="1" x="810"/>
        <item m="1" x="4693"/>
        <item m="1" x="4694"/>
        <item m="1" x="811"/>
        <item m="1" x="4695"/>
        <item m="1" x="2742"/>
        <item m="1" x="2743"/>
        <item m="1" x="2744"/>
        <item m="1" x="2745"/>
        <item m="1" x="812"/>
        <item m="1" x="813"/>
        <item m="1" x="2746"/>
        <item m="1" x="814"/>
        <item m="1" x="2747"/>
        <item m="1" x="815"/>
        <item m="1" x="4696"/>
        <item m="1" x="4697"/>
        <item m="1" x="816"/>
        <item m="1" x="817"/>
        <item m="1" x="818"/>
        <item m="1" x="4698"/>
        <item m="1" x="2748"/>
        <item m="1" x="819"/>
        <item m="1" x="4699"/>
        <item m="1" x="820"/>
        <item m="1" x="2749"/>
        <item m="1" x="4700"/>
        <item m="1" x="2750"/>
        <item m="1" x="2751"/>
        <item m="1" x="821"/>
        <item m="1" x="822"/>
        <item m="1" x="823"/>
        <item m="1" x="2752"/>
        <item m="1" x="824"/>
        <item m="1" x="2753"/>
        <item m="1" x="825"/>
        <item m="1" x="2754"/>
        <item m="1" x="826"/>
        <item m="1" x="4701"/>
        <item m="1" x="827"/>
        <item m="1" x="2755"/>
        <item m="1" x="2756"/>
        <item m="1" x="828"/>
        <item m="1" x="4702"/>
        <item m="1" x="4703"/>
        <item m="1" x="829"/>
        <item m="1" x="2757"/>
        <item m="1" x="2758"/>
        <item m="1" x="4704"/>
        <item m="1" x="2759"/>
        <item m="1" x="4705"/>
        <item m="1" x="830"/>
        <item m="1" x="2760"/>
        <item m="1" x="831"/>
        <item m="1" x="2761"/>
        <item m="1" x="4706"/>
        <item m="1" x="832"/>
        <item m="1" x="833"/>
        <item m="1" x="834"/>
        <item m="1" x="2762"/>
        <item m="1" x="2763"/>
        <item m="1" x="835"/>
        <item m="1" x="2764"/>
        <item m="1" x="2765"/>
        <item m="1" x="836"/>
        <item m="1" x="837"/>
        <item m="1" x="838"/>
        <item m="1" x="2766"/>
        <item m="1" x="2767"/>
        <item m="1" x="839"/>
        <item m="1" x="2768"/>
        <item m="1" x="4707"/>
        <item m="1" x="4708"/>
        <item m="1" x="840"/>
        <item m="1" x="841"/>
        <item m="1" x="2769"/>
        <item m="1" x="4709"/>
        <item m="1" x="842"/>
        <item m="1" x="4710"/>
        <item m="1" x="4711"/>
        <item m="1" x="4712"/>
        <item m="1" x="2770"/>
        <item m="1" x="843"/>
        <item m="1" x="844"/>
        <item m="1" x="4713"/>
        <item m="1" x="2771"/>
        <item m="1" x="2772"/>
        <item m="1" x="845"/>
        <item m="1" x="4714"/>
        <item m="1" x="846"/>
        <item m="1" x="847"/>
        <item m="1" x="848"/>
        <item m="1" x="849"/>
        <item m="1" x="850"/>
        <item m="1" x="851"/>
        <item m="1" x="2773"/>
        <item m="1" x="852"/>
        <item m="1" x="4715"/>
        <item m="1" x="4716"/>
        <item m="1" x="4717"/>
        <item m="1" x="4718"/>
        <item m="1" x="4719"/>
        <item m="1" x="853"/>
        <item m="1" x="854"/>
        <item m="1" x="2774"/>
        <item m="1" x="855"/>
        <item m="1" x="4720"/>
        <item m="1" x="856"/>
        <item m="1" x="4721"/>
        <item m="1" x="857"/>
        <item m="1" x="4722"/>
        <item m="1" x="4723"/>
        <item m="1" x="858"/>
        <item m="1" x="2775"/>
        <item m="1" x="2776"/>
        <item m="1" x="2777"/>
        <item m="1" x="2778"/>
        <item m="1" x="2779"/>
        <item m="1" x="2780"/>
        <item m="1" x="4724"/>
        <item m="1" x="4725"/>
        <item m="1" x="859"/>
        <item m="1" x="860"/>
        <item m="1" x="2781"/>
        <item m="1" x="4726"/>
        <item m="1" x="4727"/>
        <item m="1" x="4728"/>
        <item m="1" x="861"/>
        <item m="1" x="4729"/>
        <item m="1" x="862"/>
        <item m="1" x="863"/>
        <item m="1" x="2782"/>
        <item m="1" x="4730"/>
        <item m="1" x="4731"/>
        <item m="1" x="4732"/>
        <item m="1" x="864"/>
        <item m="1" x="865"/>
        <item m="1" x="866"/>
        <item m="1" x="2783"/>
        <item m="1" x="867"/>
        <item m="1" x="4733"/>
        <item m="1" x="868"/>
        <item m="1" x="2784"/>
        <item m="1" x="4734"/>
        <item m="1" x="869"/>
        <item m="1" x="870"/>
        <item m="1" x="871"/>
        <item m="1" x="2785"/>
        <item m="1" x="2786"/>
        <item m="1" x="2787"/>
        <item m="1" x="4735"/>
        <item m="1" x="2788"/>
        <item m="1" x="872"/>
        <item m="1" x="2789"/>
        <item m="1" x="2790"/>
        <item m="1" x="873"/>
        <item m="1" x="4736"/>
        <item m="1" x="874"/>
        <item m="1" x="875"/>
        <item m="1" x="2791"/>
        <item m="1" x="4737"/>
        <item m="1" x="4738"/>
        <item m="1" x="2792"/>
        <item m="1" x="2793"/>
        <item m="1" x="4739"/>
        <item m="1" x="4740"/>
        <item m="1" x="876"/>
        <item m="1" x="877"/>
        <item m="1" x="4741"/>
        <item m="1" x="2794"/>
        <item m="1" x="4742"/>
        <item m="1" x="4743"/>
        <item m="1" x="878"/>
        <item m="1" x="879"/>
        <item m="1" x="4744"/>
        <item m="1" x="880"/>
        <item m="1" x="881"/>
        <item m="1" x="882"/>
        <item m="1" x="883"/>
        <item m="1" x="4745"/>
        <item m="1" x="884"/>
        <item m="1" x="4746"/>
        <item m="1" x="2795"/>
        <item m="1" x="4747"/>
        <item m="1" x="2796"/>
        <item m="1" x="2797"/>
        <item m="1" x="2798"/>
        <item m="1" x="4748"/>
        <item m="1" x="2799"/>
        <item m="1" x="2800"/>
        <item m="1" x="4749"/>
        <item m="1" x="4750"/>
        <item m="1" x="4751"/>
        <item m="1" x="2801"/>
        <item m="1" x="885"/>
        <item m="1" x="2802"/>
        <item m="1" x="886"/>
        <item m="1" x="887"/>
        <item m="1" x="2803"/>
        <item m="1" x="4752"/>
        <item m="1" x="4753"/>
        <item m="1" x="4754"/>
        <item m="1" x="2804"/>
        <item m="1" x="4755"/>
        <item m="1" x="4756"/>
        <item m="1" x="888"/>
        <item m="1" x="2805"/>
        <item m="1" x="4757"/>
        <item m="1" x="4758"/>
        <item m="1" x="889"/>
        <item m="1" x="890"/>
        <item m="1" x="4759"/>
        <item m="1" x="2806"/>
        <item m="1" x="891"/>
        <item m="1" x="2807"/>
        <item m="1" x="4760"/>
        <item m="1" x="2808"/>
        <item m="1" x="4761"/>
        <item m="1" x="4762"/>
        <item m="1" x="4763"/>
        <item m="1" x="2809"/>
        <item m="1" x="4764"/>
        <item m="1" x="892"/>
        <item m="1" x="893"/>
        <item m="1" x="2810"/>
        <item m="1" x="894"/>
        <item m="1" x="2811"/>
        <item m="1" x="2812"/>
        <item m="1" x="895"/>
        <item m="1" x="4765"/>
        <item m="1" x="2813"/>
        <item m="1" x="896"/>
        <item m="1" x="2814"/>
        <item m="1" x="2815"/>
        <item m="1" x="897"/>
        <item m="1" x="4766"/>
        <item m="1" x="898"/>
        <item m="1" x="899"/>
        <item m="1" x="2816"/>
        <item m="1" x="2817"/>
        <item m="1" x="4767"/>
        <item m="1" x="2818"/>
        <item m="1" x="4768"/>
        <item m="1" x="900"/>
        <item m="1" x="2819"/>
        <item m="1" x="901"/>
        <item m="1" x="4769"/>
        <item m="1" x="902"/>
        <item m="1" x="903"/>
        <item m="1" x="4770"/>
        <item m="1" x="904"/>
        <item m="1" x="4771"/>
        <item m="1" x="4772"/>
        <item m="1" x="4773"/>
        <item m="1" x="4774"/>
        <item m="1" x="4775"/>
        <item m="1" x="4776"/>
        <item m="1" x="2820"/>
        <item m="1" x="905"/>
        <item m="1" x="2821"/>
        <item m="1" x="906"/>
        <item m="1" x="2822"/>
        <item m="1" x="4777"/>
        <item m="1" x="2823"/>
        <item m="1" x="4778"/>
        <item m="1" x="4779"/>
        <item m="1" x="4780"/>
        <item m="1" x="2824"/>
        <item m="1" x="907"/>
        <item m="1" x="4781"/>
        <item m="1" x="2825"/>
        <item m="1" x="2826"/>
        <item m="1" x="908"/>
        <item m="1" x="4782"/>
        <item m="1" x="2827"/>
        <item m="1" x="4783"/>
        <item m="1" x="4784"/>
        <item m="1" x="4785"/>
        <item m="1" x="2828"/>
        <item m="1" x="2829"/>
        <item m="1" x="909"/>
        <item m="1" x="4786"/>
        <item m="1" x="910"/>
        <item m="1" x="911"/>
        <item m="1" x="912"/>
        <item m="1" x="2830"/>
        <item m="1" x="4787"/>
        <item m="1" x="2831"/>
        <item m="1" x="4788"/>
        <item m="1" x="913"/>
        <item m="1" x="914"/>
        <item m="1" x="2832"/>
        <item m="1" x="2833"/>
        <item m="1" x="4789"/>
        <item m="1" x="4790"/>
        <item m="1" x="4791"/>
        <item m="1" x="4792"/>
        <item m="1" x="915"/>
        <item m="1" x="2834"/>
        <item m="1" x="4793"/>
        <item m="1" x="916"/>
        <item m="1" x="4794"/>
        <item m="1" x="2835"/>
        <item m="1" x="4795"/>
        <item m="1" x="917"/>
        <item m="1" x="2836"/>
        <item m="1" x="2837"/>
        <item m="1" x="918"/>
        <item m="1" x="919"/>
        <item m="1" x="4796"/>
        <item m="1" x="2838"/>
        <item m="1" x="920"/>
        <item m="1" x="921"/>
        <item m="1" x="2839"/>
        <item m="1" x="2840"/>
        <item m="1" x="922"/>
        <item m="1" x="923"/>
        <item m="1" x="4797"/>
        <item m="1" x="924"/>
        <item m="1" x="2841"/>
        <item m="1" x="4798"/>
        <item m="1" x="2842"/>
        <item m="1" x="4799"/>
        <item m="1" x="2843"/>
        <item m="1" x="925"/>
        <item m="1" x="2844"/>
        <item m="1" x="2845"/>
        <item m="1" x="926"/>
        <item m="1" x="927"/>
        <item m="1" x="2846"/>
        <item m="1" x="4800"/>
        <item m="1" x="2847"/>
        <item m="1" x="4801"/>
        <item m="1" x="4802"/>
        <item m="1" x="928"/>
        <item m="1" x="4803"/>
        <item m="1" x="929"/>
        <item m="1" x="4804"/>
        <item m="1" x="930"/>
        <item m="1" x="931"/>
        <item m="1" x="2848"/>
        <item m="1" x="2849"/>
        <item m="1" x="4805"/>
        <item m="1" x="932"/>
        <item m="1" x="933"/>
        <item m="1" x="934"/>
        <item m="1" x="2850"/>
        <item m="1" x="4806"/>
        <item m="1" x="4807"/>
        <item m="1" x="935"/>
        <item m="1" x="4808"/>
        <item m="1" x="936"/>
        <item m="1" x="937"/>
        <item m="1" x="938"/>
        <item m="1" x="939"/>
        <item m="1" x="940"/>
        <item m="1" x="941"/>
        <item m="1" x="942"/>
        <item m="1" x="943"/>
        <item m="1" x="4809"/>
        <item m="1" x="2851"/>
        <item m="1" x="2852"/>
        <item m="1" x="4810"/>
        <item m="1" x="944"/>
        <item m="1" x="4811"/>
        <item m="1" x="2853"/>
        <item m="1" x="4812"/>
        <item m="1" x="4813"/>
        <item m="1" x="945"/>
        <item m="1" x="946"/>
        <item m="1" x="947"/>
        <item m="1" x="4814"/>
        <item m="1" x="2854"/>
        <item m="1" x="948"/>
        <item m="1" x="2855"/>
        <item m="1" x="949"/>
        <item m="1" x="950"/>
        <item m="1" x="951"/>
        <item m="1" x="2856"/>
        <item m="1" x="4815"/>
        <item m="1" x="952"/>
        <item m="1" x="4816"/>
        <item m="1" x="2857"/>
        <item m="1" x="2858"/>
        <item m="1" x="2859"/>
        <item m="1" x="4817"/>
        <item m="1" x="2860"/>
        <item m="1" x="4818"/>
        <item m="1" x="4819"/>
        <item m="1" x="2861"/>
        <item m="1" x="953"/>
        <item m="1" x="954"/>
        <item m="1" x="955"/>
        <item m="1" x="4820"/>
        <item m="1" x="956"/>
        <item m="1" x="2862"/>
        <item m="1" x="957"/>
        <item m="1" x="2863"/>
        <item m="1" x="2864"/>
        <item m="1" x="2865"/>
        <item m="1" x="4821"/>
        <item m="1" x="6253"/>
        <item m="1" x="6254"/>
        <item m="1" x="958"/>
        <item m="1" x="4822"/>
        <item m="1" x="959"/>
        <item m="1" x="4823"/>
        <item m="1" x="960"/>
        <item m="1" x="4824"/>
        <item m="1" x="2866"/>
        <item m="1" x="4825"/>
        <item m="1" x="2867"/>
        <item m="1" x="961"/>
        <item m="1" x="4826"/>
        <item m="1" x="4827"/>
        <item m="1" x="4828"/>
        <item m="1" x="4829"/>
        <item m="1" x="4830"/>
        <item m="1" x="2868"/>
        <item m="1" x="2869"/>
        <item m="1" x="2870"/>
        <item m="1" x="2871"/>
        <item m="1" x="962"/>
        <item m="1" x="963"/>
        <item m="1" x="4831"/>
        <item m="1" x="4832"/>
        <item m="1" x="2872"/>
        <item m="1" x="2873"/>
        <item m="1" x="2874"/>
        <item m="1" x="4833"/>
        <item m="1" x="964"/>
        <item m="1" x="2875"/>
        <item m="1" x="4834"/>
        <item m="1" x="2876"/>
        <item m="1" x="2877"/>
        <item m="1" x="2878"/>
        <item m="1" x="4835"/>
        <item m="1" x="965"/>
        <item m="1" x="966"/>
        <item m="1" x="4836"/>
        <item m="1" x="4837"/>
        <item m="1" x="2879"/>
        <item m="1" x="4838"/>
        <item m="1" x="967"/>
        <item m="1" x="2880"/>
        <item m="1" x="968"/>
        <item m="1" x="2881"/>
        <item m="1" x="969"/>
        <item m="1" x="970"/>
        <item m="1" x="2882"/>
        <item m="1" x="4839"/>
        <item m="1" x="971"/>
        <item m="1" x="972"/>
        <item m="1" x="973"/>
        <item m="1" x="4840"/>
        <item m="1" x="974"/>
        <item m="1" x="4841"/>
        <item m="1" x="975"/>
        <item m="1" x="976"/>
        <item m="1" x="2883"/>
        <item m="1" x="977"/>
        <item m="1" x="2884"/>
        <item m="1" x="2885"/>
        <item m="1" x="978"/>
        <item m="1" x="2886"/>
        <item m="1" x="2887"/>
        <item m="1" x="2888"/>
        <item m="1" x="4842"/>
        <item m="1" x="4843"/>
        <item m="1" x="2889"/>
        <item m="1" x="979"/>
        <item m="1" x="2890"/>
        <item m="1" x="2891"/>
        <item m="1" x="4844"/>
        <item m="1" x="4845"/>
        <item m="1" x="2892"/>
        <item m="1" x="4846"/>
        <item m="1" x="4847"/>
        <item m="1" x="4848"/>
        <item m="1" x="2893"/>
        <item m="1" x="980"/>
        <item m="1" x="4849"/>
        <item m="1" x="981"/>
        <item m="1" x="4850"/>
        <item m="1" x="4851"/>
        <item m="1" x="2894"/>
        <item m="1" x="2895"/>
        <item m="1" x="4852"/>
        <item m="1" x="982"/>
        <item m="1" x="4853"/>
        <item m="1" x="983"/>
        <item m="1" x="984"/>
        <item m="1" x="985"/>
        <item m="1" x="2896"/>
        <item m="1" x="2897"/>
        <item m="1" x="2898"/>
        <item m="1" x="4854"/>
        <item m="1" x="4855"/>
        <item m="1" x="4856"/>
        <item m="1" x="4857"/>
        <item m="1" x="2899"/>
        <item m="1" x="986"/>
        <item m="1" x="2900"/>
        <item m="1" x="2901"/>
        <item m="1" x="987"/>
        <item m="1" x="2902"/>
        <item m="1" x="2903"/>
        <item m="1" x="4858"/>
        <item m="1" x="988"/>
        <item m="1" x="989"/>
        <item m="1" x="2904"/>
        <item m="1" x="2905"/>
        <item m="1" x="4859"/>
        <item m="1" x="2906"/>
        <item m="1" x="2907"/>
        <item m="1" x="2908"/>
        <item m="1" x="990"/>
        <item m="1" x="991"/>
        <item m="1" x="4860"/>
        <item m="1" x="992"/>
        <item m="1" x="993"/>
        <item m="1" x="994"/>
        <item m="1" x="2909"/>
        <item m="1" x="995"/>
        <item m="1" x="4861"/>
        <item m="1" x="2910"/>
        <item m="1" x="996"/>
        <item m="1" x="997"/>
        <item m="1" x="2911"/>
        <item m="1" x="998"/>
        <item m="1" x="2912"/>
        <item m="1" x="2913"/>
        <item m="1" x="2914"/>
        <item m="1" x="4862"/>
        <item m="1" x="999"/>
        <item m="1" x="2915"/>
        <item m="1" x="2916"/>
        <item m="1" x="1000"/>
        <item m="1" x="2917"/>
        <item m="1" x="1001"/>
        <item m="1" x="1002"/>
        <item m="1" x="4863"/>
        <item m="1" x="4864"/>
        <item m="1" x="1003"/>
        <item m="1" x="2918"/>
        <item m="1" x="2919"/>
        <item m="1" x="4865"/>
        <item m="1" x="1004"/>
        <item m="1" x="4866"/>
        <item m="1" x="1005"/>
        <item m="1" x="4867"/>
        <item m="1" x="2920"/>
        <item m="1" x="4868"/>
        <item m="1" x="2921"/>
        <item m="1" x="1006"/>
        <item m="1" x="2922"/>
        <item m="1" x="4869"/>
        <item m="1" x="1007"/>
        <item m="1" x="2923"/>
        <item m="1" x="2924"/>
        <item m="1" x="4870"/>
        <item m="1" x="4871"/>
        <item m="1" x="4872"/>
        <item m="1" x="1008"/>
        <item m="1" x="1009"/>
        <item m="1" x="4873"/>
        <item m="1" x="1010"/>
        <item m="1" x="2925"/>
        <item m="1" x="2926"/>
        <item m="1" x="4874"/>
        <item m="1" x="1011"/>
        <item m="1" x="4875"/>
        <item m="1" x="1012"/>
        <item m="1" x="2927"/>
        <item m="1" x="1013"/>
        <item m="1" x="1014"/>
        <item m="1" x="4876"/>
        <item m="1" x="1015"/>
        <item m="1" x="4877"/>
        <item m="1" x="2928"/>
        <item m="1" x="1016"/>
        <item m="1" x="1017"/>
        <item m="1" x="1018"/>
        <item m="1" x="1019"/>
        <item m="1" x="1020"/>
        <item m="1" x="2929"/>
        <item m="1" x="2930"/>
        <item m="1" x="4878"/>
        <item m="1" x="4879"/>
        <item m="1" x="2931"/>
        <item m="1" x="4880"/>
        <item m="1" x="4881"/>
        <item m="1" x="1021"/>
        <item m="1" x="1022"/>
        <item m="1" x="2932"/>
        <item m="1" x="4882"/>
        <item m="1" x="2933"/>
        <item m="1" x="1023"/>
        <item m="1" x="1024"/>
        <item m="1" x="1025"/>
        <item m="1" x="1026"/>
        <item m="1" x="4883"/>
        <item m="1" x="2934"/>
        <item m="1" x="4884"/>
        <item m="1" x="2935"/>
        <item m="1" x="4885"/>
        <item m="1" x="2936"/>
        <item m="1" x="1027"/>
        <item m="1" x="1028"/>
        <item m="1" x="1029"/>
        <item m="1" x="1030"/>
        <item m="1" x="4886"/>
        <item m="1" x="4887"/>
        <item m="1" x="2937"/>
        <item m="1" x="4888"/>
        <item m="1" x="2938"/>
        <item m="1" x="4889"/>
        <item m="1" x="1031"/>
        <item m="1" x="2939"/>
        <item m="1" x="4890"/>
        <item m="1" x="4891"/>
        <item m="1" x="4892"/>
        <item m="1" x="1032"/>
        <item m="1" x="4893"/>
        <item m="1" x="2940"/>
        <item m="1" x="4894"/>
        <item m="1" x="4895"/>
        <item m="1" x="1033"/>
        <item m="1" x="2941"/>
        <item m="1" x="2942"/>
        <item m="1" x="4896"/>
        <item m="1" x="1034"/>
        <item m="1" x="1035"/>
        <item m="1" x="4897"/>
        <item m="1" x="1036"/>
        <item m="1" x="2943"/>
        <item m="1" x="1037"/>
        <item m="1" x="1038"/>
        <item m="1" x="2944"/>
        <item m="1" x="4898"/>
        <item m="1" x="2945"/>
        <item m="1" x="2946"/>
        <item m="1" x="2947"/>
        <item m="1" x="1039"/>
        <item m="1" x="4899"/>
        <item m="1" x="1040"/>
        <item m="1" x="1041"/>
        <item m="1" x="1042"/>
        <item m="1" x="2948"/>
        <item m="1" x="1043"/>
        <item m="1" x="1044"/>
        <item m="1" x="1045"/>
        <item m="1" x="1046"/>
        <item m="1" x="1047"/>
        <item m="1" x="4900"/>
        <item m="1" x="2949"/>
        <item m="1" x="2950"/>
        <item m="1" x="2951"/>
        <item m="1" x="1048"/>
        <item m="1" x="1049"/>
        <item m="1" x="4901"/>
        <item m="1" x="4902"/>
        <item m="1" x="2952"/>
        <item m="1" x="2953"/>
        <item m="1" x="1050"/>
        <item m="1" x="4903"/>
        <item m="1" x="2954"/>
        <item m="1" x="2955"/>
        <item m="1" x="4904"/>
        <item m="1" x="4905"/>
        <item m="1" x="2956"/>
        <item m="1" x="4906"/>
        <item m="1" x="1051"/>
        <item m="1" x="2957"/>
        <item m="1" x="2958"/>
        <item m="1" x="2959"/>
        <item m="1" x="2960"/>
        <item m="1" x="4907"/>
        <item m="1" x="4908"/>
        <item m="1" x="2961"/>
        <item m="1" x="2962"/>
        <item m="1" x="1052"/>
        <item m="1" x="4909"/>
        <item m="1" x="4910"/>
        <item m="1" x="1053"/>
        <item m="1" x="1054"/>
        <item m="1" x="1055"/>
        <item m="1" x="1056"/>
        <item m="1" x="2963"/>
        <item m="1" x="1057"/>
        <item m="1" x="4911"/>
        <item m="1" x="2964"/>
        <item m="1" x="2965"/>
        <item m="1" x="1058"/>
        <item m="1" x="4912"/>
        <item m="1" x="1059"/>
        <item m="1" x="4913"/>
        <item m="1" x="2966"/>
        <item m="1" x="2967"/>
        <item m="1" x="2968"/>
        <item m="1" x="1060"/>
        <item m="1" x="1061"/>
        <item m="1" x="2969"/>
        <item m="1" x="1062"/>
        <item m="1" x="1063"/>
        <item m="1" x="1064"/>
        <item m="1" x="4914"/>
        <item m="1" x="2970"/>
        <item m="1" x="4915"/>
        <item m="1" x="1065"/>
        <item m="1" x="4916"/>
        <item m="1" x="4917"/>
        <item m="1" x="2971"/>
        <item m="1" x="1066"/>
        <item m="1" x="2972"/>
        <item m="1" x="2973"/>
        <item m="1" x="2974"/>
        <item m="1" x="4918"/>
        <item m="1" x="1067"/>
        <item m="1" x="1068"/>
        <item m="1" x="2975"/>
        <item m="1" x="1069"/>
        <item m="1" x="1070"/>
        <item m="1" x="2976"/>
        <item m="1" x="4919"/>
        <item m="1" x="1071"/>
        <item m="1" x="2977"/>
        <item m="1" x="2978"/>
        <item m="1" x="4920"/>
        <item m="1" x="1072"/>
        <item m="1" x="4921"/>
        <item m="1" x="2979"/>
        <item m="1" x="4922"/>
        <item m="1" x="1073"/>
        <item m="1" x="2980"/>
        <item m="1" x="1074"/>
        <item m="1" x="2981"/>
        <item m="1" x="1075"/>
        <item m="1" x="2982"/>
        <item m="1" x="1076"/>
        <item m="1" x="1077"/>
        <item m="1" x="1078"/>
        <item m="1" x="1079"/>
        <item m="1" x="4923"/>
        <item m="1" x="1080"/>
        <item m="1" x="4924"/>
        <item m="1" x="1081"/>
        <item m="1" x="4925"/>
        <item m="1" x="1082"/>
        <item m="1" x="4926"/>
        <item m="1" x="1083"/>
        <item m="1" x="2983"/>
        <item m="1" x="4927"/>
        <item m="1" x="4928"/>
        <item m="1" x="2984"/>
        <item m="1" x="1084"/>
        <item m="1" x="2985"/>
        <item m="1" x="1085"/>
        <item m="1" x="2986"/>
        <item m="1" x="1086"/>
        <item m="1" x="2987"/>
        <item m="1" x="1087"/>
        <item m="1" x="1088"/>
        <item m="1" x="4929"/>
        <item m="1" x="2988"/>
        <item m="1" x="1089"/>
        <item m="1" x="2989"/>
        <item m="1" x="2990"/>
        <item m="1" x="2991"/>
        <item m="1" x="4930"/>
        <item m="1" x="2992"/>
        <item m="1" x="1090"/>
        <item m="1" x="4931"/>
        <item m="1" x="1091"/>
        <item m="1" x="4932"/>
        <item m="1" x="2993"/>
        <item m="1" x="2994"/>
        <item m="1" x="4933"/>
        <item m="1" x="4934"/>
        <item m="1" x="4935"/>
        <item m="1" x="1092"/>
        <item m="1" x="2995"/>
        <item m="1" x="1093"/>
        <item m="1" x="1094"/>
        <item m="1" x="2996"/>
        <item m="1" x="4936"/>
        <item m="1" x="4937"/>
        <item m="1" x="2997"/>
        <item m="1" x="2998"/>
        <item m="1" x="1095"/>
        <item m="1" x="2999"/>
        <item m="1" x="4938"/>
        <item m="1" x="1096"/>
        <item m="1" x="3000"/>
        <item m="1" x="4939"/>
        <item m="1" x="1097"/>
        <item m="1" x="3001"/>
        <item m="1" x="3002"/>
        <item m="1" x="3003"/>
        <item m="1" x="3004"/>
        <item m="1" x="1098"/>
        <item m="1" x="1099"/>
        <item m="1" x="4940"/>
        <item m="1" x="4941"/>
        <item m="1" x="4942"/>
        <item m="1" x="1100"/>
        <item m="1" x="3005"/>
        <item m="1" x="1101"/>
        <item m="1" x="1102"/>
        <item m="1" x="3006"/>
        <item m="1" x="3007"/>
        <item m="1" x="3008"/>
        <item m="1" x="3009"/>
        <item m="1" x="4943"/>
        <item m="1" x="4944"/>
        <item m="1" x="3010"/>
        <item m="1" x="3011"/>
        <item m="1" x="3012"/>
        <item m="1" x="4945"/>
        <item m="1" x="1103"/>
        <item m="1" x="1104"/>
        <item m="1" x="3013"/>
        <item m="1" x="3014"/>
        <item m="1" x="1105"/>
        <item m="1" x="1106"/>
        <item m="1" x="4946"/>
        <item m="1" x="4947"/>
        <item m="1" x="4948"/>
        <item m="1" x="1107"/>
        <item m="1" x="1108"/>
        <item m="1" x="1109"/>
        <item m="1" x="3015"/>
        <item m="1" x="1110"/>
        <item m="1" x="1111"/>
        <item m="1" x="4949"/>
        <item m="1" x="3016"/>
        <item m="1" x="4950"/>
        <item m="1" x="4951"/>
        <item m="1" x="4952"/>
        <item m="1" x="4953"/>
        <item m="1" x="1112"/>
        <item m="1" x="3017"/>
        <item m="1" x="3018"/>
        <item m="1" x="4954"/>
        <item m="1" x="4955"/>
        <item m="1" x="3019"/>
        <item m="1" x="3020"/>
        <item m="1" x="4956"/>
        <item m="1" x="1113"/>
        <item m="1" x="3021"/>
        <item m="1" x="1114"/>
        <item m="1" x="1115"/>
        <item m="1" x="4957"/>
        <item m="1" x="1116"/>
        <item m="1" x="1117"/>
        <item m="1" x="1118"/>
        <item m="1" x="3022"/>
        <item m="1" x="3023"/>
        <item m="1" x="1119"/>
        <item m="1" x="1120"/>
        <item m="1" x="4958"/>
        <item m="1" x="3024"/>
        <item m="1" x="1121"/>
        <item m="1" x="3025"/>
        <item m="1" x="4959"/>
        <item m="1" x="3026"/>
        <item m="1" x="1122"/>
        <item m="1" x="1123"/>
        <item m="1" x="4960"/>
        <item m="1" x="1124"/>
        <item m="1" x="4961"/>
        <item m="1" x="1125"/>
        <item m="1" x="4962"/>
        <item m="1" x="1126"/>
        <item m="1" x="1127"/>
        <item m="1" x="1128"/>
        <item m="1" x="3027"/>
        <item m="1" x="1129"/>
        <item m="1" x="3028"/>
        <item m="1" x="1130"/>
        <item m="1" x="3029"/>
        <item m="1" x="3030"/>
        <item m="1" x="1131"/>
        <item m="1" x="3031"/>
        <item m="1" x="4963"/>
        <item m="1" x="4964"/>
        <item m="1" x="3032"/>
        <item m="1" x="4965"/>
        <item m="1" x="4966"/>
        <item m="1" x="1132"/>
        <item m="1" x="3033"/>
        <item m="1" x="3034"/>
        <item m="1" x="3035"/>
        <item m="1" x="1133"/>
        <item m="1" x="4967"/>
        <item m="1" x="1134"/>
        <item m="1" x="1135"/>
        <item m="1" x="3036"/>
        <item m="1" x="1136"/>
        <item m="1" x="3037"/>
        <item m="1" x="3038"/>
        <item m="1" x="3039"/>
        <item m="1" x="4968"/>
        <item m="1" x="1137"/>
        <item m="1" x="3040"/>
        <item m="1" x="1138"/>
        <item m="1" x="1139"/>
        <item m="1" x="1140"/>
        <item m="1" x="1141"/>
        <item m="1" x="3041"/>
        <item m="1" x="3042"/>
        <item m="1" x="1142"/>
        <item m="1" x="1143"/>
        <item m="1" x="3043"/>
        <item m="1" x="3044"/>
        <item m="1" x="1144"/>
        <item m="1" x="4969"/>
        <item m="1" x="4970"/>
        <item m="1" x="3045"/>
        <item m="1" x="3046"/>
        <item m="1" x="3047"/>
        <item m="1" x="4971"/>
        <item m="1" x="4972"/>
        <item m="1" x="1145"/>
        <item m="1" x="1146"/>
        <item m="1" x="3048"/>
        <item m="1" x="1147"/>
        <item m="1" x="3049"/>
        <item m="1" x="1148"/>
        <item m="1" x="3050"/>
        <item m="1" x="1149"/>
        <item m="1" x="3051"/>
        <item m="1" x="3052"/>
        <item m="1" x="1150"/>
        <item m="1" x="4973"/>
        <item m="1" x="1151"/>
        <item m="1" x="4974"/>
        <item m="1" x="4975"/>
        <item m="1" x="4976"/>
        <item m="1" x="4977"/>
        <item m="1" x="4978"/>
        <item m="1" x="1152"/>
        <item m="1" x="1153"/>
        <item m="1" x="3053"/>
        <item m="1" x="4979"/>
        <item m="1" x="3054"/>
        <item m="1" x="4980"/>
        <item m="1" x="1154"/>
        <item m="1" x="4981"/>
        <item m="1" x="1155"/>
        <item m="1" x="4982"/>
        <item m="1" x="4983"/>
        <item m="1" x="3055"/>
        <item m="1" x="3056"/>
        <item m="1" x="3057"/>
        <item m="1" x="3058"/>
        <item m="1" x="1156"/>
        <item m="1" x="4984"/>
        <item m="1" x="3059"/>
        <item m="1" x="4985"/>
        <item m="1" x="3060"/>
        <item m="1" x="1157"/>
        <item m="1" x="3061"/>
        <item m="1" x="3062"/>
        <item m="1" x="4986"/>
        <item m="1" x="4987"/>
        <item m="1" x="4988"/>
        <item m="1" x="3063"/>
        <item m="1" x="3064"/>
        <item m="1" x="1158"/>
        <item m="1" x="3065"/>
        <item m="1" x="3066"/>
        <item m="1" x="3067"/>
        <item m="1" x="1159"/>
        <item m="1" x="4989"/>
        <item m="1" x="1160"/>
        <item m="1" x="4990"/>
        <item m="1" x="1161"/>
        <item m="1" x="4991"/>
        <item m="1" x="3068"/>
        <item m="1" x="4992"/>
        <item m="1" x="4993"/>
        <item m="1" x="3069"/>
        <item m="1" x="1162"/>
        <item m="1" x="4994"/>
        <item m="1" x="4995"/>
        <item m="1" x="4996"/>
        <item m="1" x="1163"/>
        <item m="1" x="1164"/>
        <item m="1" x="1165"/>
        <item m="1" x="1166"/>
        <item m="1" x="3070"/>
        <item m="1" x="3071"/>
        <item m="1" x="1167"/>
        <item m="1" x="4997"/>
        <item m="1" x="1168"/>
        <item m="1" x="3072"/>
        <item m="1" x="4998"/>
        <item m="1" x="1169"/>
        <item m="1" x="1170"/>
        <item m="1" x="3073"/>
        <item m="1" x="1171"/>
        <item m="1" x="1172"/>
        <item m="1" x="3074"/>
        <item m="1" x="3075"/>
        <item m="1" x="1173"/>
        <item m="1" x="4999"/>
        <item m="1" x="5000"/>
        <item m="1" x="1174"/>
        <item m="1" x="5001"/>
        <item m="1" x="5002"/>
        <item m="1" x="1175"/>
        <item m="1" x="1176"/>
        <item m="1" x="1177"/>
        <item m="1" x="5003"/>
        <item m="1" x="3076"/>
        <item m="1" x="1178"/>
        <item m="1" x="5004"/>
        <item m="1" x="5005"/>
        <item m="1" x="5006"/>
        <item m="1" x="3077"/>
        <item m="1" x="5007"/>
        <item m="1" x="1179"/>
        <item m="1" x="1180"/>
        <item m="1" x="3078"/>
        <item m="1" x="3079"/>
        <item m="1" x="1181"/>
        <item m="1" x="1182"/>
        <item m="1" x="1183"/>
        <item m="1" x="3080"/>
        <item m="1" x="5008"/>
        <item m="1" x="1184"/>
        <item m="1" x="3081"/>
        <item m="1" x="3082"/>
        <item m="1" x="3083"/>
        <item m="1" x="1185"/>
        <item m="1" x="3084"/>
        <item m="1" x="5009"/>
        <item m="1" x="3085"/>
        <item m="1" x="5010"/>
        <item m="1" x="1186"/>
        <item m="1" x="1187"/>
        <item m="1" x="1188"/>
        <item m="1" x="3086"/>
        <item m="1" x="3087"/>
        <item m="1" x="5011"/>
        <item m="1" x="3088"/>
        <item m="1" x="1189"/>
        <item m="1" x="5012"/>
        <item m="1" x="1190"/>
        <item m="1" x="1191"/>
        <item m="1" x="1192"/>
        <item m="1" x="5013"/>
        <item m="1" x="5014"/>
        <item m="1" x="3089"/>
        <item m="1" x="1193"/>
        <item m="1" x="3090"/>
        <item m="1" x="5015"/>
        <item m="1" x="5016"/>
        <item m="1" x="3091"/>
        <item m="1" x="1194"/>
        <item m="1" x="5017"/>
        <item m="1" x="5018"/>
        <item m="1" x="3092"/>
        <item m="1" x="1195"/>
        <item m="1" x="1196"/>
        <item m="1" x="1197"/>
        <item m="1" x="1198"/>
        <item m="1" x="3093"/>
        <item m="1" x="1199"/>
        <item m="1" x="1200"/>
        <item m="1" x="1201"/>
        <item m="1" x="5019"/>
        <item m="1" x="5020"/>
        <item m="1" x="5021"/>
        <item m="1" x="5022"/>
        <item m="1" x="3094"/>
        <item m="1" x="3095"/>
        <item m="1" x="5023"/>
        <item m="1" x="3096"/>
        <item m="1" x="5024"/>
        <item m="1" x="3097"/>
        <item m="1" x="1202"/>
        <item m="1" x="3098"/>
        <item m="1" x="1203"/>
        <item m="1" x="3099"/>
        <item m="1" x="1204"/>
        <item m="1" x="5025"/>
        <item m="1" x="3100"/>
        <item m="1" x="3101"/>
        <item m="1" x="5026"/>
        <item m="1" x="5027"/>
        <item m="1" x="3102"/>
        <item m="1" x="3103"/>
        <item m="1" x="3104"/>
        <item m="1" x="3105"/>
        <item m="1" x="3106"/>
        <item m="1" x="5028"/>
        <item m="1" x="3107"/>
        <item m="1" x="3108"/>
        <item m="1" x="3109"/>
        <item m="1" x="3110"/>
        <item m="1" x="1205"/>
        <item m="1" x="1206"/>
        <item m="1" x="1207"/>
        <item m="1" x="1208"/>
        <item m="1" x="5029"/>
        <item m="1" x="3111"/>
        <item m="1" x="3112"/>
        <item m="1" x="5030"/>
        <item m="1" x="5031"/>
        <item m="1" x="1209"/>
        <item m="1" x="1210"/>
        <item m="1" x="1211"/>
        <item m="1" x="3113"/>
        <item m="1" x="5032"/>
        <item m="1" x="3114"/>
        <item m="1" x="1212"/>
        <item m="1" x="1213"/>
        <item m="1" x="3115"/>
        <item m="1" x="1214"/>
        <item m="1" x="3116"/>
        <item m="1" x="5033"/>
        <item m="1" x="5034"/>
        <item m="1" x="3117"/>
        <item m="1" x="5035"/>
        <item m="1" x="1215"/>
        <item m="1" x="1216"/>
        <item m="1" x="5036"/>
        <item m="1" x="1217"/>
        <item m="1" x="5037"/>
        <item m="1" x="1218"/>
        <item m="1" x="1219"/>
        <item m="1" x="5038"/>
        <item m="1" x="1220"/>
        <item m="1" x="3118"/>
        <item m="1" x="3119"/>
        <item m="1" x="5039"/>
        <item m="1" x="3120"/>
        <item m="1" x="1221"/>
        <item m="1" x="3121"/>
        <item m="1" x="1222"/>
        <item m="1" x="3122"/>
        <item m="1" x="5040"/>
        <item m="1" x="5041"/>
        <item m="1" x="1223"/>
        <item m="1" x="3123"/>
        <item m="1" x="3124"/>
        <item m="1" x="1224"/>
        <item m="1" x="3125"/>
        <item m="1" x="5042"/>
        <item m="1" x="5043"/>
        <item m="1" x="3126"/>
        <item m="1" x="3127"/>
        <item m="1" x="1225"/>
        <item m="1" x="1226"/>
        <item m="1" x="5044"/>
        <item m="1" x="5045"/>
        <item m="1" x="5046"/>
        <item m="1" x="1227"/>
        <item m="1" x="1228"/>
        <item m="1" x="5047"/>
        <item m="1" x="5048"/>
        <item m="1" x="3128"/>
        <item m="1" x="1229"/>
        <item m="1" x="3129"/>
        <item m="1" x="5049"/>
        <item m="1" x="5050"/>
        <item m="1" x="1230"/>
        <item m="1" x="5051"/>
        <item m="1" x="3130"/>
        <item m="1" x="3131"/>
        <item m="1" x="1231"/>
        <item m="1" x="3132"/>
        <item m="1" x="3133"/>
        <item m="1" x="5052"/>
        <item m="1" x="3134"/>
        <item m="1" x="5053"/>
        <item m="1" x="1232"/>
        <item m="1" x="5054"/>
        <item m="1" x="1233"/>
        <item m="1" x="3135"/>
        <item m="1" x="1234"/>
        <item m="1" x="5055"/>
        <item m="1" x="5056"/>
        <item m="1" x="3136"/>
        <item m="1" x="3137"/>
        <item m="1" x="3138"/>
        <item m="1" x="3139"/>
        <item m="1" x="3140"/>
        <item m="1" x="3141"/>
        <item m="1" x="1235"/>
        <item m="1" x="3142"/>
        <item m="1" x="1236"/>
        <item m="1" x="3143"/>
        <item m="1" x="5057"/>
        <item m="1" x="1237"/>
        <item m="1" x="5058"/>
        <item m="1" x="1238"/>
        <item m="1" x="5059"/>
        <item m="1" x="1239"/>
        <item m="1" x="5060"/>
        <item m="1" x="1240"/>
        <item m="1" x="3144"/>
        <item m="1" x="3145"/>
        <item m="1" x="3146"/>
        <item m="1" x="5061"/>
        <item m="1" x="5062"/>
        <item m="1" x="5063"/>
        <item m="1" x="1241"/>
        <item m="1" x="1242"/>
        <item m="1" x="3147"/>
        <item m="1" x="5064"/>
        <item m="1" x="3148"/>
        <item m="1" x="3149"/>
        <item m="1" x="5065"/>
        <item m="1" x="3150"/>
        <item m="1" x="5066"/>
        <item m="1" x="5067"/>
        <item m="1" x="3151"/>
        <item m="1" x="5068"/>
        <item m="1" x="3152"/>
        <item m="1" x="3153"/>
        <item m="1" x="5069"/>
        <item m="1" x="1243"/>
        <item m="1" x="1244"/>
        <item m="1" x="3154"/>
        <item m="1" x="5070"/>
        <item m="1" x="5071"/>
        <item m="1" x="3155"/>
        <item m="1" x="5072"/>
        <item m="1" x="3156"/>
        <item m="1" x="5073"/>
        <item m="1" x="3157"/>
        <item m="1" x="1245"/>
        <item m="1" x="3158"/>
        <item m="1" x="3159"/>
        <item m="1" x="1246"/>
        <item m="1" x="1247"/>
        <item m="1" x="1248"/>
        <item m="1" x="5074"/>
        <item m="1" x="5075"/>
        <item m="1" x="5076"/>
        <item m="1" x="1249"/>
        <item m="1" x="1250"/>
        <item m="1" x="3160"/>
        <item m="1" x="5077"/>
        <item m="1" x="3161"/>
        <item m="1" x="5078"/>
        <item m="1" x="1251"/>
        <item m="1" x="3162"/>
        <item m="1" x="1252"/>
        <item m="1" x="3163"/>
        <item m="1" x="5079"/>
        <item m="1" x="5080"/>
        <item m="1" x="1253"/>
        <item m="1" x="1254"/>
        <item m="1" x="3164"/>
        <item m="1" x="1255"/>
        <item m="1" x="5081"/>
        <item m="1" x="3165"/>
        <item m="1" x="5082"/>
        <item m="1" x="5083"/>
        <item m="1" x="1256"/>
        <item m="1" x="3166"/>
        <item m="1" x="5084"/>
        <item m="1" x="3167"/>
        <item m="1" x="3168"/>
        <item m="1" x="5085"/>
        <item m="1" x="3169"/>
        <item m="1" x="1257"/>
        <item m="1" x="1258"/>
        <item m="1" x="5086"/>
        <item m="1" x="1259"/>
        <item m="1" x="1260"/>
        <item m="1" x="3170"/>
        <item m="1" x="1261"/>
        <item m="1" x="5087"/>
        <item m="1" x="1262"/>
        <item m="1" x="3171"/>
        <item m="1" x="3172"/>
        <item m="1" x="1263"/>
        <item m="1" x="5088"/>
        <item m="1" x="5089"/>
        <item m="1" x="5090"/>
        <item m="1" x="5091"/>
        <item m="1" x="1264"/>
        <item m="1" x="5092"/>
        <item m="1" x="3173"/>
        <item m="1" x="5093"/>
        <item m="1" x="3174"/>
        <item m="1" x="3175"/>
        <item m="1" x="3176"/>
        <item m="1" x="3177"/>
        <item m="1" x="5094"/>
        <item m="1" x="3178"/>
        <item m="1" x="5095"/>
        <item m="1" x="5096"/>
        <item m="1" x="1265"/>
        <item m="1" x="5097"/>
        <item m="1" x="1266"/>
        <item m="1" x="5098"/>
        <item m="1" x="1267"/>
        <item m="1" x="3179"/>
        <item m="1" x="3180"/>
        <item m="1" x="5099"/>
        <item m="1" x="3181"/>
        <item m="1" x="1268"/>
        <item m="1" x="5100"/>
        <item m="1" x="3182"/>
        <item m="1" x="5101"/>
        <item m="1" x="3183"/>
        <item m="1" x="5102"/>
        <item m="1" x="1269"/>
        <item m="1" x="1270"/>
        <item m="1" x="5103"/>
        <item m="1" x="3184"/>
        <item m="1" x="5104"/>
        <item m="1" x="3185"/>
        <item m="1" x="3186"/>
        <item m="1" x="3187"/>
        <item m="1" x="1271"/>
        <item m="1" x="3188"/>
        <item m="1" x="3189"/>
        <item m="1" x="3190"/>
        <item m="1" x="1272"/>
        <item m="1" x="1273"/>
        <item m="1" x="3191"/>
        <item m="1" x="3192"/>
        <item m="1" x="1274"/>
        <item m="1" x="1275"/>
        <item m="1" x="3193"/>
        <item m="1" x="3194"/>
        <item m="1" x="1276"/>
        <item m="1" x="1277"/>
        <item m="1" x="3195"/>
        <item m="1" x="1278"/>
        <item m="1" x="5105"/>
        <item m="1" x="5106"/>
        <item m="1" x="1279"/>
        <item m="1" x="3196"/>
        <item m="1" x="1280"/>
        <item m="1" x="3197"/>
        <item m="1" x="5107"/>
        <item m="1" x="1281"/>
        <item m="1" x="3198"/>
        <item m="1" x="1282"/>
        <item m="1" x="1283"/>
        <item m="1" x="1284"/>
        <item m="1" x="1285"/>
        <item m="1" x="1286"/>
        <item m="1" x="5108"/>
        <item m="1" x="3199"/>
        <item m="1" x="5109"/>
        <item m="1" x="3200"/>
        <item m="1" x="1287"/>
        <item m="1" x="5110"/>
        <item m="1" x="1288"/>
        <item m="1" x="1289"/>
        <item m="1" x="1290"/>
        <item m="1" x="5111"/>
        <item m="1" x="5112"/>
        <item m="1" x="1291"/>
        <item m="1" x="3201"/>
        <item m="1" x="5113"/>
        <item m="1" x="5114"/>
        <item m="1" x="3202"/>
        <item m="1" x="5115"/>
        <item m="1" x="3203"/>
        <item m="1" x="3204"/>
        <item m="1" x="1292"/>
        <item m="1" x="3205"/>
        <item m="1" x="1293"/>
        <item m="1" x="5116"/>
        <item m="1" x="1294"/>
        <item m="1" x="5117"/>
        <item m="1" x="5118"/>
        <item m="1" x="3206"/>
        <item m="1" x="1295"/>
        <item m="1" x="1296"/>
        <item m="1" x="1297"/>
        <item m="1" x="3207"/>
        <item m="1" x="1298"/>
        <item m="1" x="5119"/>
        <item m="1" x="1299"/>
        <item m="1" x="1300"/>
        <item m="1" x="3208"/>
        <item m="1" x="1301"/>
        <item m="1" x="3209"/>
        <item m="1" x="3210"/>
        <item m="1" x="3211"/>
        <item m="1" x="1302"/>
        <item m="1" x="5120"/>
        <item m="1" x="1303"/>
        <item m="1" x="3212"/>
        <item m="1" x="3213"/>
        <item m="1" x="1304"/>
        <item m="1" x="3214"/>
        <item m="1" x="3215"/>
        <item m="1" x="3216"/>
        <item m="1" x="3217"/>
        <item m="1" x="1305"/>
        <item m="1" x="1306"/>
        <item m="1" x="1307"/>
        <item m="1" x="5121"/>
        <item m="1" x="3218"/>
        <item m="1" x="3219"/>
        <item m="1" x="5122"/>
        <item m="1" x="5123"/>
        <item m="1" x="1308"/>
        <item m="1" x="1309"/>
        <item m="1" x="1310"/>
        <item m="1" x="1311"/>
        <item m="1" x="3220"/>
        <item m="1" x="3221"/>
        <item m="1" x="5124"/>
        <item m="1" x="1312"/>
        <item m="1" x="3222"/>
        <item m="1" x="5125"/>
        <item m="1" x="3223"/>
        <item m="1" x="5126"/>
        <item m="1" x="1313"/>
        <item m="1" x="3224"/>
        <item m="1" x="5127"/>
        <item m="1" x="3225"/>
        <item m="1" x="5128"/>
        <item m="1" x="1314"/>
        <item m="1" x="1315"/>
        <item m="1" x="5129"/>
        <item m="1" x="5130"/>
        <item m="1" x="1316"/>
        <item m="1" x="1317"/>
        <item m="1" x="5131"/>
        <item m="1" x="3226"/>
        <item m="1" x="3227"/>
        <item m="1" x="5132"/>
        <item m="1" x="1318"/>
        <item m="1" x="5133"/>
        <item m="1" x="5134"/>
        <item m="1" x="3228"/>
        <item m="1" x="1319"/>
        <item m="1" x="1320"/>
        <item m="1" x="5135"/>
        <item m="1" x="5136"/>
        <item m="1" x="3229"/>
        <item m="1" x="5137"/>
        <item m="1" x="3230"/>
        <item m="1" x="3231"/>
        <item m="1" x="1321"/>
        <item m="1" x="1322"/>
        <item m="1" x="1323"/>
        <item m="1" x="5138"/>
        <item m="1" x="1324"/>
        <item m="1" x="5139"/>
        <item m="1" x="5140"/>
        <item m="1" x="3232"/>
        <item m="1" x="1325"/>
        <item m="1" x="3233"/>
        <item m="1" x="3234"/>
        <item m="1" x="5141"/>
        <item m="1" x="3235"/>
        <item m="1" x="5142"/>
        <item m="1" x="3236"/>
        <item m="1" x="1326"/>
        <item m="1" x="3237"/>
        <item m="1" x="5143"/>
        <item m="1" x="5144"/>
        <item m="1" x="3238"/>
        <item m="1" x="5145"/>
        <item m="1" x="1327"/>
        <item m="1" x="3239"/>
        <item m="1" x="5146"/>
        <item m="1" x="5147"/>
        <item m="1" x="1328"/>
        <item m="1" x="1329"/>
        <item m="1" x="3240"/>
        <item m="1" x="5148"/>
        <item m="1" x="3241"/>
        <item m="1" x="1330"/>
        <item m="1" x="5149"/>
        <item m="1" x="5150"/>
        <item m="1" x="3242"/>
        <item m="1" x="3243"/>
        <item m="1" x="5151"/>
        <item m="1" x="1331"/>
        <item m="1" x="5152"/>
        <item m="1" x="1332"/>
        <item m="1" x="3244"/>
        <item m="1" x="3245"/>
        <item m="1" x="3246"/>
        <item m="1" x="3247"/>
        <item m="1" x="5153"/>
        <item m="1" x="3248"/>
        <item m="1" x="3249"/>
        <item m="1" x="3250"/>
        <item m="1" x="3251"/>
        <item m="1" x="1333"/>
        <item m="1" x="5154"/>
        <item m="1" x="1334"/>
        <item m="1" x="1335"/>
        <item m="1" x="1336"/>
        <item m="1" x="5155"/>
        <item m="1" x="1337"/>
        <item m="1" x="3252"/>
        <item m="1" x="5156"/>
        <item m="1" x="1338"/>
        <item m="1" x="5157"/>
        <item m="1" x="1339"/>
        <item m="1" x="1340"/>
        <item m="1" x="1341"/>
        <item m="1" x="1342"/>
        <item m="1" x="1343"/>
        <item m="1" x="1344"/>
        <item m="1" x="3253"/>
        <item m="1" x="1345"/>
        <item m="1" x="1346"/>
        <item m="1" x="5158"/>
        <item m="1" x="5159"/>
        <item m="1" x="1347"/>
        <item m="1" x="1348"/>
        <item m="1" x="5160"/>
        <item m="1" x="1349"/>
        <item m="1" x="3254"/>
        <item m="1" x="1350"/>
        <item m="1" x="3255"/>
        <item m="1" x="3256"/>
        <item m="1" x="1351"/>
        <item m="1" x="5161"/>
        <item m="1" x="1352"/>
        <item m="1" x="1353"/>
        <item m="1" x="5162"/>
        <item m="1" x="3257"/>
        <item m="1" x="3258"/>
        <item m="1" x="3259"/>
        <item m="1" x="1354"/>
        <item m="1" x="1355"/>
        <item m="1" x="3260"/>
        <item m="1" x="5163"/>
        <item m="1" x="5164"/>
        <item m="1" x="3261"/>
        <item m="1" x="5165"/>
        <item m="1" x="3262"/>
        <item m="1" x="5166"/>
        <item m="1" x="1356"/>
        <item m="1" x="3263"/>
        <item m="1" x="5167"/>
        <item m="1" x="3264"/>
        <item m="1" x="1357"/>
        <item m="1" x="1358"/>
        <item m="1" x="1359"/>
        <item m="1" x="3265"/>
        <item m="1" x="3266"/>
        <item m="1" x="5168"/>
        <item m="1" x="5169"/>
        <item m="1" x="5170"/>
        <item m="1" x="1360"/>
        <item m="1" x="3267"/>
        <item m="1" x="5171"/>
        <item m="1" x="1361"/>
        <item m="1" x="5172"/>
        <item m="1" x="3268"/>
        <item m="1" x="1362"/>
        <item m="1" x="1363"/>
        <item m="1" x="3269"/>
        <item m="1" x="1364"/>
        <item m="1" x="3270"/>
        <item m="1" x="5173"/>
        <item m="1" x="5174"/>
        <item m="1" x="5175"/>
        <item m="1" x="1365"/>
        <item m="1" x="3271"/>
        <item m="1" x="5176"/>
        <item m="1" x="1366"/>
        <item m="1" x="5177"/>
        <item m="1" x="1367"/>
        <item m="1" x="1368"/>
        <item m="1" x="1369"/>
        <item m="1" x="1370"/>
        <item m="1" x="5178"/>
        <item m="1" x="5179"/>
        <item m="1" x="3272"/>
        <item m="1" x="3273"/>
        <item m="1" x="5180"/>
        <item m="1" x="1371"/>
        <item m="1" x="5181"/>
        <item m="1" x="3274"/>
        <item m="1" x="3275"/>
        <item m="1" x="3276"/>
        <item m="1" x="5182"/>
        <item m="1" x="3277"/>
        <item m="1" x="3278"/>
        <item m="1" x="1372"/>
        <item m="1" x="5183"/>
        <item m="1" x="1373"/>
        <item m="1" x="3279"/>
        <item m="1" x="3280"/>
        <item m="1" x="1374"/>
        <item m="1" x="1375"/>
        <item m="1" x="1376"/>
        <item m="1" x="1377"/>
        <item m="1" x="5184"/>
        <item m="1" x="1378"/>
        <item m="1" x="5185"/>
        <item m="1" x="3281"/>
        <item m="1" x="1379"/>
        <item m="1" x="1380"/>
        <item m="1" x="3282"/>
        <item m="1" x="5186"/>
        <item m="1" x="3283"/>
        <item m="1" x="5187"/>
        <item m="1" x="1381"/>
        <item m="1" x="5188"/>
        <item m="1" x="5189"/>
        <item m="1" x="1382"/>
        <item m="1" x="1383"/>
        <item m="1" x="1384"/>
        <item m="1" x="3284"/>
        <item m="1" x="3285"/>
        <item m="1" x="3286"/>
        <item m="1" x="3287"/>
        <item m="1" x="3288"/>
        <item m="1" x="3289"/>
        <item m="1" x="3290"/>
        <item m="1" x="1385"/>
        <item m="1" x="1386"/>
        <item m="1" x="3291"/>
        <item m="1" x="1387"/>
        <item m="1" x="3292"/>
        <item m="1" x="5190"/>
        <item m="1" x="3293"/>
        <item m="1" x="5191"/>
        <item m="1" x="1388"/>
        <item m="1" x="5192"/>
        <item m="1" x="5193"/>
        <item m="1" x="3294"/>
        <item m="1" x="3295"/>
        <item m="1" x="1389"/>
        <item m="1" x="1390"/>
        <item m="1" x="3296"/>
        <item m="1" x="3297"/>
        <item m="1" x="3298"/>
        <item m="1" x="1391"/>
        <item m="1" x="5194"/>
        <item m="1" x="3299"/>
        <item m="1" x="3300"/>
        <item m="1" x="5195"/>
        <item m="1" x="5196"/>
        <item m="1" x="5197"/>
        <item m="1" x="5198"/>
        <item m="1" x="1392"/>
        <item m="1" x="3301"/>
        <item m="1" x="3302"/>
        <item m="1" x="3303"/>
        <item m="1" x="1393"/>
        <item m="1" x="5199"/>
        <item m="1" x="3304"/>
        <item m="1" x="5200"/>
        <item m="1" x="5201"/>
        <item m="1" x="1394"/>
        <item m="1" x="1395"/>
        <item m="1" x="1396"/>
        <item m="1" x="5202"/>
        <item m="1" x="1397"/>
        <item m="1" x="5203"/>
        <item m="1" x="3305"/>
        <item m="1" x="3306"/>
        <item m="1" x="1398"/>
        <item m="1" x="3307"/>
        <item m="1" x="5204"/>
        <item m="1" x="1399"/>
        <item m="1" x="1400"/>
        <item m="1" x="5205"/>
        <item m="1" x="1401"/>
        <item m="1" x="1402"/>
        <item m="1" x="3308"/>
        <item m="1" x="3309"/>
        <item m="1" x="3310"/>
        <item m="1" x="1403"/>
        <item m="1" x="5206"/>
        <item m="1" x="3311"/>
        <item m="1" x="5207"/>
        <item m="1" x="3312"/>
        <item m="1" x="1404"/>
        <item m="1" x="5208"/>
        <item m="1" x="1405"/>
        <item m="1" x="3313"/>
        <item m="1" x="5209"/>
        <item m="1" x="3314"/>
        <item m="1" x="5210"/>
        <item m="1" x="5211"/>
        <item m="1" x="1406"/>
        <item m="1" x="1407"/>
        <item m="1" x="3315"/>
        <item m="1" x="5212"/>
        <item m="1" x="5213"/>
        <item m="1" x="5214"/>
        <item m="1" x="5215"/>
        <item m="1" x="3316"/>
        <item m="1" x="5216"/>
        <item m="1" x="5217"/>
        <item m="1" x="3317"/>
        <item m="1" x="1408"/>
        <item m="1" x="3318"/>
        <item m="1" x="1409"/>
        <item m="1" x="3319"/>
        <item m="1" x="3320"/>
        <item m="1" x="1410"/>
        <item m="1" x="3321"/>
        <item m="1" x="5218"/>
        <item m="1" x="3322"/>
        <item m="1" x="3323"/>
        <item m="1" x="3324"/>
        <item m="1" x="5219"/>
        <item m="1" x="3325"/>
        <item m="1" x="1411"/>
        <item m="1" x="3326"/>
        <item m="1" x="3327"/>
        <item m="1" x="3328"/>
        <item m="1" x="5220"/>
        <item m="1" x="3329"/>
        <item m="1" x="5221"/>
        <item m="1" x="3330"/>
        <item m="1" x="5222"/>
        <item m="1" x="1412"/>
        <item m="1" x="1413"/>
        <item m="1" x="3331"/>
        <item m="1" x="1414"/>
        <item m="1" x="3332"/>
        <item m="1" x="5223"/>
        <item m="1" x="5224"/>
        <item m="1" x="1415"/>
        <item m="1" x="1416"/>
        <item m="1" x="3333"/>
        <item m="1" x="5225"/>
        <item m="1" x="1417"/>
        <item m="1" x="5226"/>
        <item m="1" x="5227"/>
        <item m="1" x="3334"/>
        <item m="1" x="1418"/>
        <item m="1" x="5228"/>
        <item m="1" x="3335"/>
        <item m="1" x="5229"/>
        <item m="1" x="5230"/>
        <item m="1" x="1419"/>
        <item m="1" x="3336"/>
        <item m="1" x="3337"/>
        <item m="1" x="1420"/>
        <item m="1" x="1421"/>
        <item m="1" x="5231"/>
        <item m="1" x="5232"/>
        <item m="1" x="5233"/>
        <item m="1" x="5234"/>
        <item m="1" x="5235"/>
        <item m="1" x="1422"/>
        <item m="1" x="5236"/>
        <item m="1" x="1423"/>
        <item m="1" x="5237"/>
        <item m="1" x="3338"/>
        <item m="1" x="1424"/>
        <item m="1" x="5238"/>
        <item m="1" x="5239"/>
        <item m="1" x="3339"/>
        <item m="1" x="5240"/>
        <item m="1" x="1425"/>
        <item m="1" x="5241"/>
        <item m="1" x="5242"/>
        <item m="1" x="1426"/>
        <item m="1" x="5243"/>
        <item m="1" x="1427"/>
        <item m="1" x="1428"/>
        <item m="1" x="5244"/>
        <item m="1" x="1429"/>
        <item m="1" x="1430"/>
        <item m="1" x="5245"/>
        <item m="1" x="5246"/>
        <item m="1" x="1431"/>
        <item m="1" x="3340"/>
        <item m="1" x="3341"/>
        <item m="1" x="3342"/>
        <item m="1" x="5247"/>
        <item m="1" x="3343"/>
        <item m="1" x="3344"/>
        <item m="1" x="5248"/>
        <item m="1" x="1432"/>
        <item m="1" x="1433"/>
        <item m="1" x="3345"/>
        <item m="1" x="5249"/>
        <item m="1" x="5250"/>
        <item m="1" x="3346"/>
        <item m="1" x="3347"/>
        <item m="1" x="1434"/>
        <item m="1" x="1435"/>
        <item m="1" x="3348"/>
        <item m="1" x="3349"/>
        <item m="1" x="3350"/>
        <item m="1" x="5251"/>
        <item m="1" x="1436"/>
        <item m="1" x="3351"/>
        <item m="1" x="5252"/>
        <item m="1" x="1437"/>
        <item m="1" x="3352"/>
        <item m="1" x="5253"/>
        <item m="1" x="3353"/>
        <item m="1" x="5254"/>
        <item m="1" x="3354"/>
        <item m="1" x="3355"/>
        <item m="1" x="3356"/>
        <item m="1" x="1438"/>
        <item m="1" x="3357"/>
        <item m="1" x="3358"/>
        <item m="1" x="5255"/>
        <item m="1" x="3359"/>
        <item m="1" x="5256"/>
        <item m="1" x="3360"/>
        <item m="1" x="1439"/>
        <item m="1" x="1440"/>
        <item m="1" x="3361"/>
        <item m="1" x="3362"/>
        <item m="1" x="3363"/>
        <item m="1" x="5257"/>
        <item m="1" x="3364"/>
        <item m="1" x="5258"/>
        <item m="1" x="5259"/>
        <item m="1" x="5260"/>
        <item m="1" x="5261"/>
        <item m="1" x="3365"/>
        <item m="1" x="3366"/>
        <item m="1" x="1441"/>
        <item m="1" x="1442"/>
        <item m="1" x="5262"/>
        <item m="1" x="5263"/>
        <item m="1" x="1443"/>
        <item m="1" x="5264"/>
        <item m="1" x="3367"/>
        <item m="1" x="3368"/>
        <item m="1" x="3369"/>
        <item m="1" x="3370"/>
        <item m="1" x="1444"/>
        <item m="1" x="1445"/>
        <item m="1" x="3371"/>
        <item m="1" x="3372"/>
        <item m="1" x="1446"/>
        <item m="1" x="5265"/>
        <item m="1" x="5266"/>
        <item m="1" x="3373"/>
        <item m="1" x="3374"/>
        <item m="1" x="3375"/>
        <item m="1" x="3376"/>
        <item m="1" x="1447"/>
        <item m="1" x="5267"/>
        <item m="1" x="1448"/>
        <item m="1" x="5268"/>
        <item m="1" x="3377"/>
        <item m="1" x="3378"/>
        <item m="1" x="3379"/>
        <item m="1" x="3380"/>
        <item m="1" x="5269"/>
        <item m="1" x="3381"/>
        <item m="1" x="3382"/>
        <item m="1" x="5270"/>
        <item m="1" x="1449"/>
        <item m="1" x="5271"/>
        <item m="1" x="5272"/>
        <item m="1" x="3383"/>
        <item m="1" x="5273"/>
        <item m="1" x="5274"/>
        <item m="1" x="5275"/>
        <item m="1" x="3384"/>
        <item m="1" x="5276"/>
        <item m="1" x="1450"/>
        <item m="1" x="5277"/>
        <item m="1" x="3385"/>
        <item m="1" x="1451"/>
        <item m="1" x="3386"/>
        <item m="1" x="1452"/>
        <item m="1" x="3387"/>
        <item m="1" x="3388"/>
        <item m="1" x="1453"/>
        <item m="1" x="1454"/>
        <item m="1" x="5278"/>
        <item m="1" x="5279"/>
        <item m="1" x="3389"/>
        <item m="1" x="5280"/>
        <item m="1" x="5281"/>
        <item m="1" x="5282"/>
        <item m="1" x="1455"/>
        <item m="1" x="3390"/>
        <item m="1" x="1456"/>
        <item m="1" x="5283"/>
        <item m="1" x="1457"/>
        <item m="1" x="1458"/>
        <item m="1" x="5284"/>
        <item m="1" x="5285"/>
        <item m="1" x="5286"/>
        <item m="1" x="3391"/>
        <item m="1" x="5287"/>
        <item m="1" x="1459"/>
        <item m="1" x="5288"/>
        <item m="1" x="5289"/>
        <item m="1" x="5290"/>
        <item m="1" x="3392"/>
        <item m="1" x="5291"/>
        <item m="1" x="1460"/>
        <item m="1" x="3393"/>
        <item m="1" x="1461"/>
        <item m="1" x="5292"/>
        <item m="1" x="5293"/>
        <item m="1" x="3394"/>
        <item m="1" x="5294"/>
        <item m="1" x="3395"/>
        <item m="1" x="1462"/>
        <item m="1" x="3396"/>
        <item m="1" x="5295"/>
        <item m="1" x="1463"/>
        <item m="1" x="3397"/>
        <item m="1" x="1464"/>
        <item m="1" x="5296"/>
        <item m="1" x="1465"/>
        <item m="1" x="1466"/>
        <item m="1" x="3398"/>
        <item m="1" x="1467"/>
        <item m="1" x="1468"/>
        <item m="1" x="3399"/>
        <item m="1" x="1469"/>
        <item m="1" x="3400"/>
        <item m="1" x="5297"/>
        <item m="1" x="5298"/>
        <item m="1" x="1470"/>
        <item m="1" x="5299"/>
        <item m="1" x="1471"/>
        <item m="1" x="3401"/>
        <item m="1" x="3402"/>
        <item m="1" x="5300"/>
        <item m="1" x="1472"/>
        <item m="1" x="1473"/>
        <item m="1" x="1474"/>
        <item m="1" x="3403"/>
        <item m="1" x="5301"/>
        <item m="1" x="1475"/>
        <item m="1" x="3404"/>
        <item m="1" x="5302"/>
        <item m="1" x="5303"/>
        <item m="1" x="3405"/>
        <item m="1" x="1476"/>
        <item m="1" x="5304"/>
        <item m="1" x="1477"/>
        <item m="1" x="1478"/>
        <item m="1" x="5305"/>
        <item m="1" x="3406"/>
        <item m="1" x="1479"/>
        <item m="1" x="5306"/>
        <item m="1" x="3407"/>
        <item m="1" x="3408"/>
        <item m="1" x="5307"/>
        <item m="1" x="3409"/>
        <item m="1" x="3410"/>
        <item m="1" x="1480"/>
        <item m="1" x="1481"/>
        <item m="1" x="3411"/>
        <item m="1" x="1482"/>
        <item m="1" x="1483"/>
        <item m="1" x="3412"/>
        <item m="1" x="5308"/>
        <item m="1" x="3413"/>
        <item m="1" x="3414"/>
        <item m="1" x="1484"/>
        <item m="1" x="1485"/>
        <item m="1" x="3415"/>
        <item m="1" x="1486"/>
        <item m="1" x="1487"/>
        <item m="1" x="1488"/>
        <item m="1" x="5309"/>
        <item m="1" x="3416"/>
        <item m="1" x="3417"/>
        <item m="1" x="5310"/>
        <item m="1" x="1489"/>
        <item m="1" x="3418"/>
        <item m="1" x="5311"/>
        <item m="1" x="3419"/>
        <item m="1" x="3420"/>
        <item m="1" x="5312"/>
        <item m="1" x="5313"/>
        <item m="1" x="5314"/>
        <item m="1" x="1490"/>
        <item m="1" x="5315"/>
        <item m="1" x="1491"/>
        <item m="1" x="1492"/>
        <item m="1" x="3421"/>
        <item m="1" x="3422"/>
        <item m="1" x="1493"/>
        <item m="1" x="3423"/>
        <item m="1" x="5316"/>
        <item m="1" x="3424"/>
        <item m="1" x="5317"/>
        <item m="1" x="3425"/>
        <item m="1" x="1494"/>
        <item m="1" x="1495"/>
        <item m="1" x="5318"/>
        <item m="1" x="5319"/>
        <item m="1" x="1496"/>
        <item m="1" x="1497"/>
        <item m="1" x="5320"/>
        <item m="1" x="5321"/>
        <item m="1" x="1498"/>
        <item m="1" x="1499"/>
        <item m="1" x="3426"/>
        <item m="1" x="1500"/>
        <item m="1" x="5322"/>
        <item m="1" x="1501"/>
        <item m="1" x="5323"/>
        <item m="1" x="5324"/>
        <item m="1" x="1502"/>
        <item m="1" x="5325"/>
        <item m="1" x="1503"/>
        <item m="1" x="3427"/>
        <item m="1" x="5326"/>
        <item m="1" x="1504"/>
        <item m="1" x="1505"/>
        <item m="1" x="5327"/>
        <item m="1" x="3428"/>
        <item m="1" x="3429"/>
        <item m="1" x="1506"/>
        <item m="1" x="1507"/>
        <item m="1" x="1508"/>
        <item m="1" x="1509"/>
        <item m="1" x="1510"/>
        <item m="1" x="5328"/>
        <item m="1" x="5329"/>
        <item m="1" x="5330"/>
        <item m="1" x="3430"/>
        <item m="1" x="5331"/>
        <item m="1" x="1511"/>
        <item m="1" x="5332"/>
        <item m="1" x="5333"/>
        <item m="1" x="1512"/>
        <item m="1" x="3431"/>
        <item m="1" x="5334"/>
        <item m="1" x="3432"/>
        <item m="1" x="1513"/>
        <item m="1" x="5335"/>
        <item m="1" x="5336"/>
        <item m="1" x="5337"/>
        <item m="1" x="5338"/>
        <item m="1" x="5339"/>
        <item m="1" x="3433"/>
        <item m="1" x="5340"/>
        <item m="1" x="5341"/>
        <item m="1" x="5342"/>
        <item m="1" x="1514"/>
        <item m="1" x="3434"/>
        <item m="1" x="5343"/>
        <item m="1" x="5344"/>
        <item m="1" x="3435"/>
        <item m="1" x="3436"/>
        <item m="1" x="1515"/>
        <item m="1" x="5345"/>
        <item m="1" x="5346"/>
        <item m="1" x="5347"/>
        <item m="1" x="1516"/>
        <item m="1" x="1517"/>
        <item m="1" x="1518"/>
        <item m="1" x="5348"/>
        <item m="1" x="1519"/>
        <item m="1" x="5349"/>
        <item m="1" x="3437"/>
        <item m="1" x="5350"/>
        <item m="1" x="1520"/>
        <item m="1" x="1521"/>
        <item m="1" x="5351"/>
        <item m="1" x="5352"/>
        <item m="1" x="1522"/>
        <item m="1" x="1523"/>
        <item m="1" x="1524"/>
        <item m="1" x="5353"/>
        <item m="1" x="3438"/>
        <item m="1" x="5354"/>
        <item m="1" x="3439"/>
        <item m="1" x="3440"/>
        <item m="1" x="5355"/>
        <item m="1" x="5356"/>
        <item m="1" x="3441"/>
        <item m="1" x="5357"/>
        <item m="1" x="5358"/>
        <item m="1" x="5359"/>
        <item m="1" x="1525"/>
        <item m="1" x="1526"/>
        <item m="1" x="3442"/>
        <item m="1" x="3443"/>
        <item m="1" x="1527"/>
        <item m="1" x="3444"/>
        <item m="1" x="3445"/>
        <item m="1" x="1528"/>
        <item m="1" x="3446"/>
        <item m="1" x="1529"/>
        <item m="1" x="1530"/>
        <item m="1" x="3447"/>
        <item m="1" x="5360"/>
        <item m="1" x="1531"/>
        <item m="1" x="1532"/>
        <item m="1" x="3448"/>
        <item m="1" x="5361"/>
        <item m="1" x="3449"/>
        <item m="1" x="3450"/>
        <item m="1" x="1533"/>
        <item m="1" x="5362"/>
        <item m="1" x="3451"/>
        <item m="1" x="5363"/>
        <item m="1" x="1534"/>
        <item m="1" x="1535"/>
        <item m="1" x="1536"/>
        <item m="1" x="5364"/>
        <item m="1" x="3452"/>
        <item m="1" x="5365"/>
        <item m="1" x="3453"/>
        <item m="1" x="1537"/>
        <item m="1" x="5366"/>
        <item m="1" x="5367"/>
        <item m="1" x="1538"/>
        <item m="1" x="5368"/>
        <item m="1" x="1539"/>
        <item m="1" x="1540"/>
        <item m="1" x="5369"/>
        <item m="1" x="3454"/>
        <item m="1" x="5370"/>
        <item m="1" x="3455"/>
        <item m="1" x="1541"/>
        <item m="1" x="5371"/>
        <item m="1" x="1542"/>
        <item m="1" x="3456"/>
        <item m="1" x="5372"/>
        <item m="1" x="3457"/>
        <item m="1" x="5373"/>
        <item m="1" x="5374"/>
        <item m="1" x="1543"/>
        <item m="1" x="1544"/>
        <item m="1" x="5375"/>
        <item m="1" x="5376"/>
        <item m="1" x="3458"/>
        <item m="1" x="5377"/>
        <item m="1" x="1545"/>
        <item m="1" x="1546"/>
        <item m="1" x="5378"/>
        <item m="1" x="5379"/>
        <item m="1" x="3459"/>
        <item m="1" x="5380"/>
        <item m="1" x="5381"/>
        <item m="1" x="1547"/>
        <item m="1" x="1548"/>
        <item m="1" x="1549"/>
        <item m="1" x="3460"/>
        <item m="1" x="1550"/>
        <item m="1" x="3461"/>
        <item m="1" x="3462"/>
        <item m="1" x="3463"/>
        <item m="1" x="3464"/>
        <item m="1" x="3465"/>
        <item m="1" x="1551"/>
        <item m="1" x="3466"/>
        <item m="1" x="3467"/>
        <item m="1" x="5382"/>
        <item m="1" x="5383"/>
        <item m="1" x="5384"/>
        <item m="1" x="1552"/>
        <item m="1" x="1553"/>
        <item m="1" x="5385"/>
        <item m="1" x="3468"/>
        <item m="1" x="3469"/>
        <item m="1" x="1554"/>
        <item m="1" x="5386"/>
        <item m="1" x="1555"/>
        <item m="1" x="1556"/>
        <item m="1" x="3470"/>
        <item m="1" x="5387"/>
        <item m="1" x="3471"/>
        <item m="1" x="5388"/>
        <item m="1" x="5389"/>
        <item m="1" x="1557"/>
        <item m="1" x="5390"/>
        <item m="1" x="3472"/>
        <item m="1" x="5391"/>
        <item m="1" x="3473"/>
        <item m="1" x="3474"/>
        <item m="1" x="5392"/>
        <item m="1" x="5393"/>
        <item m="1" x="5394"/>
        <item m="1" x="5395"/>
        <item m="1" x="3475"/>
        <item m="1" x="1558"/>
        <item m="1" x="3476"/>
        <item m="1" x="1559"/>
        <item m="1" x="3477"/>
        <item m="1" x="3478"/>
        <item m="1" x="5396"/>
        <item m="1" x="5397"/>
        <item m="1" x="5398"/>
        <item m="1" x="1560"/>
        <item m="1" x="5399"/>
        <item m="1" x="1561"/>
        <item m="1" x="1562"/>
        <item m="1" x="5400"/>
        <item m="1" x="3479"/>
        <item m="1" x="1563"/>
        <item m="1" x="3480"/>
        <item m="1" x="1564"/>
        <item m="1" x="3481"/>
        <item m="1" x="3482"/>
        <item m="1" x="3483"/>
        <item m="1" x="1565"/>
        <item m="1" x="3484"/>
        <item m="1" x="1566"/>
        <item m="1" x="1567"/>
        <item m="1" x="1568"/>
        <item m="1" x="3485"/>
        <item m="1" x="1569"/>
        <item m="1" x="3486"/>
        <item m="1" x="1570"/>
        <item m="1" x="5401"/>
        <item m="1" x="3487"/>
        <item m="1" x="3488"/>
        <item m="1" x="3489"/>
        <item m="1" x="3490"/>
        <item m="1" x="5402"/>
        <item m="1" x="5403"/>
        <item m="1" x="1571"/>
        <item m="1" x="1572"/>
        <item m="1" x="1573"/>
        <item m="1" x="3491"/>
        <item m="1" x="1574"/>
        <item m="1" x="1575"/>
        <item m="1" x="1576"/>
        <item m="1" x="5404"/>
        <item m="1" x="5405"/>
        <item m="1" x="5406"/>
        <item m="1" x="5407"/>
        <item m="1" x="1577"/>
        <item m="1" x="1578"/>
        <item m="1" x="3492"/>
        <item m="1" x="1579"/>
        <item m="1" x="3493"/>
        <item m="1" x="3494"/>
        <item m="1" x="3495"/>
        <item m="1" x="3496"/>
        <item m="1" x="3497"/>
        <item m="1" x="1580"/>
        <item m="1" x="5408"/>
        <item m="1" x="3498"/>
        <item m="1" x="1581"/>
        <item m="1" x="5409"/>
        <item m="1" x="3499"/>
        <item m="1" x="3500"/>
        <item m="1" x="3501"/>
        <item m="1" x="1582"/>
        <item m="1" x="1583"/>
        <item m="1" x="5410"/>
        <item m="1" x="3502"/>
        <item m="1" x="5411"/>
        <item m="1" x="1584"/>
        <item m="1" x="3503"/>
        <item m="1" x="1585"/>
        <item m="1" x="3504"/>
        <item m="1" x="3505"/>
        <item m="1" x="3506"/>
        <item m="1" x="5412"/>
        <item m="1" x="5413"/>
        <item m="1" x="3507"/>
        <item m="1" x="5414"/>
        <item m="1" x="1586"/>
        <item m="1" x="3508"/>
        <item m="1" x="5415"/>
        <item m="1" x="5416"/>
        <item m="1" x="1587"/>
        <item m="1" x="5417"/>
        <item m="1" x="1588"/>
        <item m="1" x="3509"/>
        <item m="1" x="1589"/>
        <item m="1" x="1590"/>
        <item m="1" x="1591"/>
        <item m="1" x="5418"/>
        <item m="1" x="1592"/>
        <item m="1" x="3510"/>
        <item m="1" x="3511"/>
        <item m="1" x="5419"/>
        <item m="1" x="3512"/>
        <item m="1" x="3513"/>
        <item m="1" x="1593"/>
        <item m="1" x="3514"/>
        <item m="1" x="3515"/>
        <item m="1" x="1594"/>
        <item m="1" x="1595"/>
        <item m="1" x="3516"/>
        <item m="1" x="3517"/>
        <item m="1" x="1596"/>
        <item m="1" x="1597"/>
        <item m="1" x="3518"/>
        <item m="1" x="1598"/>
        <item m="1" x="3519"/>
        <item m="1" x="3520"/>
        <item m="1" x="1599"/>
        <item m="1" x="1600"/>
        <item m="1" x="1601"/>
        <item m="1" x="5420"/>
        <item m="1" x="1602"/>
        <item m="1" x="5421"/>
        <item m="1" x="5422"/>
        <item m="1" x="1603"/>
        <item m="1" x="3521"/>
        <item m="1" x="1604"/>
        <item m="1" x="1605"/>
        <item m="1" x="1606"/>
        <item m="1" x="3882"/>
        <item m="1" x="3883"/>
        <item m="1" x="1972"/>
        <item m="1" x="5423"/>
        <item m="1" x="3522"/>
        <item m="1" x="5424"/>
        <item m="1" x="5425"/>
        <item m="1" x="5426"/>
        <item m="1" x="1607"/>
        <item m="1" x="3523"/>
        <item m="1" x="5427"/>
        <item m="1" x="5428"/>
        <item m="1" x="1608"/>
        <item m="1" x="1609"/>
        <item m="1" x="5429"/>
        <item m="1" x="5430"/>
        <item m="1" x="3524"/>
        <item m="1" x="5431"/>
        <item m="1" x="5432"/>
        <item m="1" x="5433"/>
        <item m="1" x="5434"/>
        <item m="1" x="3525"/>
        <item m="1" x="5435"/>
        <item m="1" x="3526"/>
        <item m="1" x="5436"/>
        <item m="1" x="1610"/>
        <item m="1" x="3527"/>
        <item m="1" x="1611"/>
        <item m="1" x="1612"/>
        <item m="1" x="5437"/>
        <item m="1" x="5438"/>
        <item m="1" x="3528"/>
        <item m="1" x="5439"/>
        <item m="1" x="5440"/>
        <item m="1" x="3529"/>
        <item m="1" x="5441"/>
        <item m="1" x="3530"/>
        <item m="1" x="1613"/>
        <item m="1" x="1614"/>
        <item m="1" x="1615"/>
        <item m="1" x="5442"/>
        <item m="1" x="1616"/>
        <item m="1" x="5443"/>
        <item m="1" x="3531"/>
        <item m="1" x="3532"/>
        <item m="1" x="5444"/>
        <item m="1" x="5445"/>
        <item m="1" x="1617"/>
        <item m="1" x="3533"/>
        <item m="1" x="5446"/>
        <item m="1" x="5447"/>
        <item m="1" x="3534"/>
        <item m="1" x="3535"/>
        <item m="1" x="5448"/>
        <item m="1" x="1618"/>
        <item m="1" x="1619"/>
        <item m="1" x="3536"/>
        <item m="1" x="3537"/>
        <item m="1" x="3538"/>
        <item m="1" x="3539"/>
        <item m="1" x="5449"/>
        <item m="1" x="3540"/>
        <item m="1" x="3541"/>
        <item m="1" x="1620"/>
        <item m="1" x="3542"/>
        <item m="1" x="3543"/>
        <item m="1" x="5450"/>
        <item m="1" x="3544"/>
        <item m="1" x="3545"/>
        <item m="1" x="5451"/>
        <item m="1" x="3546"/>
        <item m="1" x="5452"/>
        <item m="1" x="5453"/>
        <item m="1" x="5454"/>
        <item m="1" x="3547"/>
        <item m="1" x="5455"/>
        <item m="1" x="3548"/>
        <item m="1" x="5456"/>
        <item m="1" x="3549"/>
        <item m="1" x="3550"/>
        <item m="1" x="1621"/>
        <item m="1" x="3551"/>
        <item m="1" x="5457"/>
        <item m="1" x="1622"/>
        <item m="1" x="1623"/>
        <item m="1" x="3552"/>
        <item m="1" x="5458"/>
        <item m="1" x="1624"/>
        <item m="1" x="5459"/>
        <item m="1" x="5460"/>
        <item m="1" x="5461"/>
        <item m="1" x="1625"/>
        <item m="1" x="3553"/>
        <item m="1" x="5462"/>
        <item m="1" x="1626"/>
        <item m="1" x="3554"/>
        <item m="1" x="1627"/>
        <item m="1" x="3555"/>
        <item m="1" x="5463"/>
        <item m="1" x="1628"/>
        <item m="1" x="3556"/>
        <item m="1" x="1629"/>
        <item m="1" x="5464"/>
        <item m="1" x="5465"/>
        <item m="1" x="1630"/>
        <item m="1" x="1631"/>
        <item m="1" x="1632"/>
        <item m="1" x="1633"/>
        <item m="1" x="5466"/>
        <item m="1" x="1634"/>
        <item m="1" x="1635"/>
        <item m="1" x="5467"/>
        <item m="1" x="5468"/>
        <item m="1" x="1636"/>
        <item m="1" x="1637"/>
        <item m="1" x="3557"/>
        <item m="1" x="3558"/>
        <item m="1" x="3559"/>
        <item m="1" x="5469"/>
        <item m="1" x="1638"/>
        <item m="1" x="1639"/>
        <item m="1" x="3560"/>
        <item m="1" x="5470"/>
        <item m="1" x="5471"/>
        <item m="1" x="1640"/>
        <item m="1" x="5472"/>
        <item m="1" x="5473"/>
        <item m="1" x="3561"/>
        <item m="1" x="5474"/>
        <item m="1" x="5475"/>
        <item m="1" x="3562"/>
        <item m="1" x="5476"/>
        <item m="1" x="3563"/>
        <item m="1" x="5477"/>
        <item m="1" x="5478"/>
        <item m="1" x="1641"/>
        <item m="1" x="1642"/>
        <item m="1" x="3564"/>
        <item m="1" x="3565"/>
        <item m="1" x="3566"/>
        <item m="1" x="3567"/>
        <item m="1" x="1643"/>
        <item m="1" x="5479"/>
        <item m="1" x="1644"/>
        <item m="1" x="5480"/>
        <item m="1" x="1645"/>
        <item m="1" x="5481"/>
        <item m="1" x="5482"/>
        <item m="1" x="1646"/>
        <item m="1" x="3568"/>
        <item m="1" x="1647"/>
        <item m="1" x="3569"/>
        <item m="1" x="5483"/>
        <item m="1" x="1648"/>
        <item m="1" x="3570"/>
        <item m="1" x="3571"/>
        <item m="1" x="5484"/>
        <item m="1" x="5485"/>
        <item m="1" x="1649"/>
        <item m="1" x="5486"/>
        <item m="1" x="5487"/>
        <item m="1" x="5488"/>
        <item m="1" x="1650"/>
        <item m="1" x="5489"/>
        <item m="1" x="1651"/>
        <item m="1" x="5490"/>
        <item m="1" x="3572"/>
        <item m="1" x="1652"/>
        <item m="1" x="5491"/>
        <item m="1" x="5492"/>
        <item m="1" x="3573"/>
        <item m="1" x="3574"/>
        <item m="1" x="3575"/>
        <item m="1" x="3576"/>
        <item m="1" x="3577"/>
        <item m="1" x="3578"/>
        <item m="1" x="3579"/>
        <item m="1" x="5493"/>
        <item m="1" x="1653"/>
        <item m="1" x="1654"/>
        <item m="1" x="3580"/>
        <item m="1" x="5494"/>
        <item m="1" x="1655"/>
        <item m="1" x="3581"/>
        <item m="1" x="3582"/>
        <item m="1" x="3583"/>
        <item m="1" x="1656"/>
        <item m="1" x="5495"/>
        <item m="1" x="1657"/>
        <item m="1" x="5496"/>
        <item m="1" x="1658"/>
        <item m="1" x="1659"/>
        <item m="1" x="3584"/>
        <item m="1" x="1660"/>
        <item m="1" x="1661"/>
        <item m="1" x="5497"/>
        <item m="1" x="5498"/>
        <item m="1" x="3585"/>
        <item m="1" x="5499"/>
        <item m="1" x="5500"/>
        <item m="1" x="1662"/>
        <item m="1" x="3586"/>
        <item m="1" x="1663"/>
        <item m="1" x="5501"/>
        <item m="1" x="1664"/>
        <item m="1" x="5502"/>
        <item m="1" x="5503"/>
        <item m="1" x="3587"/>
        <item m="1" x="1665"/>
        <item m="1" x="1666"/>
        <item m="1" x="3588"/>
        <item m="1" x="3589"/>
        <item m="1" x="1667"/>
        <item m="1" x="3590"/>
        <item m="1" x="5504"/>
        <item m="1" x="1668"/>
        <item m="1" x="3591"/>
        <item m="1" x="5505"/>
        <item m="1" x="5506"/>
        <item m="1" x="5507"/>
        <item m="1" x="1669"/>
        <item m="1" x="1670"/>
        <item m="1" x="5508"/>
        <item m="1" x="5509"/>
        <item m="1" x="1671"/>
        <item m="1" x="1672"/>
        <item m="1" x="3592"/>
        <item m="1" x="3593"/>
        <item m="1" x="1673"/>
        <item m="1" x="5510"/>
        <item m="1" x="1674"/>
        <item m="1" x="5511"/>
        <item m="1" x="5512"/>
        <item m="1" x="5513"/>
        <item m="1" x="3594"/>
        <item m="1" x="1675"/>
        <item m="1" x="3595"/>
        <item m="1" x="3596"/>
        <item m="1" x="5514"/>
        <item m="1" x="3597"/>
        <item m="1" x="3598"/>
        <item m="1" x="5515"/>
        <item m="1" x="3599"/>
        <item m="1" x="3600"/>
        <item m="1" x="3601"/>
        <item m="1" x="3602"/>
        <item m="1" x="5516"/>
        <item m="1" x="5517"/>
        <item m="1" x="3603"/>
        <item m="1" x="1676"/>
        <item m="1" x="5518"/>
        <item m="1" x="3604"/>
        <item m="1" x="1677"/>
        <item m="1" x="5519"/>
        <item m="1" x="1678"/>
        <item m="1" x="1679"/>
        <item m="1" x="3605"/>
        <item m="1" x="5520"/>
        <item m="1" x="5521"/>
        <item m="1" x="3606"/>
        <item m="1" x="5522"/>
        <item m="1" x="5523"/>
        <item m="1" x="5524"/>
        <item m="1" x="1680"/>
        <item m="1" x="5525"/>
        <item m="1" x="1681"/>
        <item m="1" x="3607"/>
        <item m="1" x="5526"/>
        <item m="1" x="5527"/>
        <item m="1" x="5528"/>
        <item m="1" x="1682"/>
        <item m="1" x="3608"/>
        <item m="1" x="3609"/>
        <item m="1" x="5529"/>
        <item m="1" x="1683"/>
        <item m="1" x="5530"/>
        <item m="1" x="3610"/>
        <item m="1" x="3611"/>
        <item m="1" x="1684"/>
        <item m="1" x="1685"/>
        <item m="1" x="1686"/>
        <item m="1" x="1687"/>
        <item m="1" x="5531"/>
        <item m="1" x="5532"/>
        <item m="1" x="1688"/>
        <item m="1" x="5533"/>
        <item m="1" x="5534"/>
        <item m="1" x="5535"/>
        <item m="1" x="1689"/>
        <item m="1" x="3612"/>
        <item m="1" x="1690"/>
        <item m="1" x="3613"/>
        <item m="1" x="5536"/>
        <item m="1" x="1691"/>
        <item m="1" x="3614"/>
        <item m="1" x="3615"/>
        <item m="1" x="1692"/>
        <item m="1" x="1693"/>
        <item m="1" x="3616"/>
        <item m="1" x="3617"/>
        <item m="1" x="1694"/>
        <item m="1" x="5537"/>
        <item m="1" x="3618"/>
        <item m="1" x="5538"/>
        <item m="1" x="5539"/>
        <item m="1" x="3619"/>
        <item m="1" x="3620"/>
        <item m="1" x="5540"/>
        <item m="1" x="3621"/>
        <item m="1" x="5541"/>
        <item m="1" x="1695"/>
        <item m="1" x="5542"/>
        <item m="1" x="5543"/>
        <item m="1" x="5544"/>
        <item m="1" x="5545"/>
        <item m="1" x="3622"/>
        <item m="1" x="1696"/>
        <item m="1" x="5546"/>
        <item m="1" x="3623"/>
        <item m="1" x="1697"/>
        <item m="1" x="1698"/>
        <item m="1" x="5547"/>
        <item m="1" x="5548"/>
        <item m="1" x="1699"/>
        <item m="1" x="3624"/>
        <item m="1" x="3625"/>
        <item m="1" x="3626"/>
        <item m="1" x="3627"/>
        <item m="1" x="5549"/>
        <item m="1" x="3628"/>
        <item m="1" x="1700"/>
        <item m="1" x="5550"/>
        <item m="1" x="1701"/>
        <item m="1" x="5551"/>
        <item m="1" x="5552"/>
        <item m="1" x="5553"/>
        <item m="1" x="5554"/>
        <item m="1" x="1702"/>
        <item m="1" x="3629"/>
        <item m="1" x="3630"/>
        <item m="1" x="3631"/>
        <item m="1" x="5555"/>
        <item m="1" x="1703"/>
        <item m="1" x="5556"/>
        <item m="1" x="1704"/>
        <item m="1" x="1705"/>
        <item m="1" x="5557"/>
        <item m="1" x="5558"/>
        <item m="1" x="5559"/>
        <item m="1" x="5560"/>
        <item m="1" x="3632"/>
        <item m="1" x="1706"/>
        <item m="1" x="5561"/>
        <item m="1" x="5562"/>
        <item m="1" x="5563"/>
        <item m="1" x="5564"/>
        <item m="1" x="5565"/>
        <item m="1" x="3633"/>
        <item m="1" x="5566"/>
        <item m="1" x="1707"/>
        <item m="1" x="5567"/>
        <item m="1" x="1708"/>
        <item m="1" x="5568"/>
        <item m="1" x="3634"/>
        <item m="1" x="5569"/>
        <item m="1" x="3635"/>
        <item m="1" x="3636"/>
        <item m="1" x="5570"/>
        <item m="1" x="1709"/>
        <item m="1" x="5571"/>
        <item m="1" x="5572"/>
        <item m="1" x="5573"/>
        <item m="1" x="1710"/>
        <item m="1" x="3637"/>
        <item m="1" x="5574"/>
        <item m="1" x="1711"/>
        <item m="1" x="3638"/>
        <item m="1" x="1712"/>
        <item m="1" x="1713"/>
        <item m="1" x="5575"/>
        <item m="1" x="3639"/>
        <item m="1" x="1714"/>
        <item m="1" x="1715"/>
        <item m="1" x="3640"/>
        <item m="1" x="3641"/>
        <item m="1" x="5576"/>
        <item m="1" x="3642"/>
        <item m="1" x="5577"/>
        <item m="1" x="3643"/>
        <item m="1" x="3644"/>
        <item m="1" x="5578"/>
        <item m="1" x="1716"/>
        <item m="1" x="1717"/>
        <item m="1" x="5579"/>
        <item m="1" x="1718"/>
        <item m="1" x="5580"/>
        <item m="1" x="1719"/>
        <item m="1" x="3645"/>
        <item m="1" x="1720"/>
        <item m="1" x="3646"/>
        <item m="1" x="5581"/>
        <item m="1" x="5582"/>
        <item m="1" x="5583"/>
        <item m="1" x="5584"/>
        <item m="1" x="1721"/>
        <item m="1" x="5585"/>
        <item m="1" x="3647"/>
        <item m="1" x="5586"/>
        <item m="1" x="3648"/>
        <item m="1" x="3649"/>
        <item m="1" x="3650"/>
        <item m="1" x="3651"/>
        <item m="1" x="5587"/>
        <item m="1" x="3652"/>
        <item m="1" x="3653"/>
        <item m="1" x="5588"/>
        <item m="1" x="5589"/>
        <item m="1" x="5590"/>
        <item m="1" x="1722"/>
        <item m="1" x="1723"/>
        <item m="1" x="3654"/>
        <item m="1" x="3655"/>
        <item m="1" x="3656"/>
        <item m="1" x="5591"/>
        <item m="1" x="5592"/>
        <item m="1" x="5593"/>
        <item m="1" x="5594"/>
        <item m="1" x="3657"/>
        <item m="1" x="5595"/>
        <item m="1" x="3658"/>
        <item m="1" x="3659"/>
        <item m="1" x="1724"/>
        <item m="1" x="1725"/>
        <item m="1" x="5596"/>
        <item m="1" x="5597"/>
        <item m="1" x="3660"/>
        <item m="1" x="5598"/>
        <item m="1" x="1726"/>
        <item m="1" x="1727"/>
        <item m="1" x="5599"/>
        <item m="1" x="1728"/>
        <item m="1" x="1729"/>
        <item m="1" x="1730"/>
        <item m="1" x="3661"/>
        <item m="1" x="1731"/>
        <item m="1" x="1732"/>
        <item m="1" x="3662"/>
        <item m="1" x="5600"/>
        <item m="1" x="3663"/>
        <item m="1" x="1733"/>
        <item m="1" x="1734"/>
        <item m="1" x="1735"/>
        <item m="1" x="5601"/>
        <item m="1" x="1736"/>
        <item m="1" x="5602"/>
        <item m="1" x="5603"/>
        <item m="1" x="1737"/>
        <item m="1" x="1738"/>
        <item m="1" x="3664"/>
        <item m="1" x="1739"/>
        <item m="1" x="3665"/>
        <item m="1" x="5604"/>
        <item m="1" x="1740"/>
        <item m="1" x="1741"/>
        <item m="1" x="5605"/>
        <item m="1" x="1742"/>
        <item m="1" x="5606"/>
        <item m="1" x="5607"/>
        <item m="1" x="5608"/>
        <item m="1" x="5609"/>
        <item m="1" x="3666"/>
        <item m="1" x="5610"/>
        <item m="1" x="3667"/>
        <item m="1" x="1743"/>
        <item m="1" x="3668"/>
        <item m="1" x="5611"/>
        <item m="1" x="1744"/>
        <item m="1" x="5612"/>
        <item m="1" x="5613"/>
        <item m="1" x="1745"/>
        <item m="1" x="3669"/>
        <item m="1" x="5614"/>
        <item m="1" x="3670"/>
        <item m="1" x="5615"/>
        <item m="1" x="3671"/>
        <item m="1" x="1746"/>
        <item m="1" x="1747"/>
        <item m="1" x="3672"/>
        <item m="1" x="5616"/>
        <item m="1" x="5617"/>
        <item m="1" x="1748"/>
        <item m="1" x="3673"/>
        <item m="1" x="3674"/>
        <item m="1" x="3675"/>
        <item m="1" x="3676"/>
        <item m="1" x="1749"/>
        <item m="1" x="5618"/>
        <item m="1" x="1750"/>
        <item m="1" x="3677"/>
        <item m="1" x="1751"/>
        <item m="1" x="3678"/>
        <item m="1" x="5619"/>
        <item m="1" x="1752"/>
        <item m="1" x="1753"/>
        <item m="1" x="5620"/>
        <item m="1" x="5621"/>
        <item m="1" x="3679"/>
        <item m="1" x="1754"/>
        <item m="1" x="5622"/>
        <item m="1" x="1755"/>
        <item m="1" x="5623"/>
        <item m="1" x="3680"/>
        <item m="1" x="5624"/>
        <item m="1" x="5625"/>
        <item m="1" x="1756"/>
        <item m="1" x="1757"/>
        <item m="1" x="1758"/>
        <item m="1" x="3681"/>
        <item m="1" x="5626"/>
        <item m="1" x="5627"/>
        <item m="1" x="5628"/>
        <item m="1" x="5629"/>
        <item m="1" x="1759"/>
        <item m="1" x="5630"/>
        <item m="1" x="5631"/>
        <item m="1" x="1760"/>
        <item m="1" x="1761"/>
        <item m="1" x="3682"/>
        <item m="1" x="5632"/>
        <item m="1" x="3683"/>
        <item m="1" x="3684"/>
        <item m="1" x="1762"/>
        <item m="1" x="3685"/>
        <item m="1" x="5633"/>
        <item m="1" x="3686"/>
        <item m="1" x="5634"/>
        <item m="1" x="1763"/>
        <item m="1" x="3687"/>
        <item m="1" x="1764"/>
        <item m="1" x="3688"/>
        <item m="1" x="1765"/>
        <item m="1" x="1766"/>
        <item m="1" x="1767"/>
        <item m="1" x="5635"/>
        <item m="1" x="3689"/>
        <item m="1" x="1768"/>
        <item m="1" x="3690"/>
        <item m="1" x="1769"/>
        <item m="1" x="1770"/>
        <item m="1" x="5636"/>
        <item m="1" x="1771"/>
        <item m="1" x="1772"/>
        <item m="1" x="5637"/>
        <item m="1" x="1773"/>
        <item m="1" x="5638"/>
        <item m="1" x="5639"/>
        <item m="1" x="5640"/>
        <item m="1" x="5641"/>
        <item m="1" x="5642"/>
        <item m="1" x="5643"/>
        <item m="1" x="3691"/>
        <item m="1" x="5644"/>
        <item m="1" x="5645"/>
        <item m="1" x="1774"/>
        <item m="1" x="1775"/>
        <item m="1" x="3692"/>
        <item m="1" x="1776"/>
        <item m="1" x="1777"/>
        <item m="1" x="3693"/>
        <item m="1" x="3694"/>
        <item m="1" x="1778"/>
        <item m="1" x="3695"/>
        <item m="1" x="1779"/>
        <item m="1" x="5646"/>
        <item m="1" x="1780"/>
        <item m="1" x="5647"/>
        <item m="1" x="1781"/>
        <item m="1" x="1782"/>
        <item m="1" x="3696"/>
        <item m="1" x="3697"/>
        <item m="1" x="1783"/>
        <item m="1" x="3698"/>
        <item m="1" x="5648"/>
        <item m="1" x="3699"/>
        <item m="1" x="5649"/>
        <item m="1" x="1784"/>
        <item m="1" x="5650"/>
        <item m="1" x="5651"/>
        <item m="1" x="5652"/>
        <item m="1" x="5653"/>
        <item m="1" x="5654"/>
        <item m="1" x="1785"/>
        <item m="1" x="1786"/>
        <item m="1" x="1787"/>
        <item m="1" x="3700"/>
        <item m="1" x="3701"/>
        <item m="1" x="3702"/>
        <item m="1" x="5655"/>
        <item m="1" x="3703"/>
        <item m="1" x="1788"/>
        <item m="1" x="1789"/>
        <item m="1" x="5656"/>
        <item m="1" x="1790"/>
        <item m="1" x="1791"/>
        <item m="1" x="3704"/>
        <item m="1" x="1792"/>
        <item m="1" x="5657"/>
        <item m="1" x="3705"/>
        <item m="1" x="5658"/>
        <item m="1" x="1793"/>
        <item m="1" x="1794"/>
        <item m="1" x="5659"/>
        <item m="1" x="3706"/>
        <item m="1" x="1795"/>
        <item m="1" x="5660"/>
        <item m="1" x="5661"/>
        <item m="1" x="1796"/>
        <item m="1" x="1797"/>
        <item m="1" x="1798"/>
        <item m="1" x="3707"/>
        <item m="1" x="3708"/>
        <item m="1" x="1799"/>
        <item m="1" x="3709"/>
        <item m="1" x="3710"/>
        <item m="1" x="1800"/>
        <item m="1" x="1801"/>
        <item m="1" x="1802"/>
        <item m="1" x="1803"/>
        <item m="1" x="5662"/>
        <item m="1" x="5663"/>
        <item m="1" x="1804"/>
        <item m="1" x="3711"/>
        <item m="1" x="1805"/>
        <item m="1" x="5664"/>
        <item m="1" x="3712"/>
        <item m="1" x="1806"/>
        <item m="1" x="1807"/>
        <item m="1" x="1808"/>
        <item m="1" x="3713"/>
        <item m="1" x="3714"/>
        <item m="1" x="3715"/>
        <item m="1" x="5665"/>
        <item m="1" x="5666"/>
        <item m="1" x="3716"/>
        <item m="1" x="5667"/>
        <item m="1" x="5668"/>
        <item m="1" x="3717"/>
        <item m="1" x="5669"/>
        <item m="1" x="3718"/>
        <item m="1" x="5670"/>
        <item m="1" x="3719"/>
        <item m="1" x="3720"/>
        <item m="1" x="1809"/>
        <item m="1" x="3721"/>
        <item m="1" x="3722"/>
        <item m="1" x="1810"/>
        <item m="1" x="3723"/>
        <item m="1" x="5671"/>
        <item m="1" x="3724"/>
        <item m="1" x="3725"/>
        <item m="1" x="1811"/>
        <item m="1" x="1812"/>
        <item m="1" x="1813"/>
        <item m="1" x="3726"/>
        <item m="1" x="3727"/>
        <item m="1" x="5672"/>
        <item m="1" x="1814"/>
        <item m="1" x="1815"/>
        <item m="1" x="1816"/>
        <item m="1" x="3728"/>
        <item m="1" x="5673"/>
        <item m="1" x="5674"/>
        <item m="1" x="5675"/>
        <item m="1" x="5676"/>
        <item m="1" x="1817"/>
        <item m="1" x="1818"/>
        <item m="1" x="1819"/>
        <item m="1" x="1820"/>
        <item m="1" x="1821"/>
        <item m="1" x="5677"/>
        <item m="1" x="1822"/>
        <item m="1" x="1823"/>
        <item m="1" x="5678"/>
        <item m="1" x="1824"/>
        <item m="1" x="5679"/>
        <item m="1" x="3729"/>
        <item m="1" x="5680"/>
        <item m="1" x="3730"/>
        <item m="1" x="5681"/>
        <item m="1" x="1825"/>
        <item m="1" x="3731"/>
        <item m="1" x="5682"/>
        <item m="1" x="5683"/>
        <item m="1" x="3732"/>
        <item m="1" x="1826"/>
        <item m="1" x="1827"/>
        <item m="1" x="3733"/>
        <item m="1" x="5684"/>
        <item m="1" x="3734"/>
        <item m="1" x="3735"/>
        <item m="1" x="1828"/>
        <item m="1" x="5685"/>
        <item m="1" x="1829"/>
        <item m="1" x="3736"/>
        <item m="1" x="1830"/>
        <item m="1" x="1831"/>
        <item m="1" x="5686"/>
        <item m="1" x="1832"/>
        <item m="1" x="5687"/>
        <item m="1" x="5688"/>
        <item m="1" x="5689"/>
        <item m="1" x="3737"/>
        <item m="1" x="5690"/>
        <item m="1" x="3738"/>
        <item m="1" x="3739"/>
        <item m="1" x="5691"/>
        <item m="1" x="3740"/>
        <item m="1" x="1833"/>
        <item m="1" x="5692"/>
        <item m="1" x="5693"/>
        <item m="1" x="5694"/>
        <item m="1" x="5695"/>
        <item m="1" x="5696"/>
        <item m="1" x="3741"/>
        <item m="1" x="1834"/>
        <item m="1" x="5697"/>
        <item m="1" x="5698"/>
        <item m="1" x="1835"/>
        <item m="1" x="5699"/>
        <item m="1" x="3742"/>
        <item m="1" x="3743"/>
        <item m="1" x="1836"/>
        <item m="1" x="3744"/>
        <item m="1" x="3745"/>
        <item m="1" x="5700"/>
        <item m="1" x="1837"/>
        <item m="1" x="3746"/>
        <item m="1" x="1838"/>
        <item m="1" x="1839"/>
        <item m="1" x="1840"/>
        <item m="1" x="3747"/>
        <item m="1" x="1841"/>
        <item m="1" x="1842"/>
        <item m="1" x="3748"/>
        <item m="1" x="1843"/>
        <item m="1" x="1844"/>
        <item m="1" x="3749"/>
        <item m="1" x="3750"/>
        <item m="1" x="3751"/>
        <item m="1" x="1845"/>
        <item m="1" x="3752"/>
        <item m="1" x="5701"/>
        <item m="1" x="3753"/>
        <item m="1" x="5702"/>
        <item m="1" x="3754"/>
        <item m="1" x="3755"/>
        <item m="1" x="1846"/>
        <item m="1" x="1847"/>
        <item m="1" x="1848"/>
        <item m="1" x="3756"/>
        <item m="1" x="1849"/>
        <item m="1" x="3757"/>
        <item m="1" x="3758"/>
        <item m="1" x="3759"/>
        <item m="1" x="3760"/>
        <item m="1" x="5703"/>
        <item m="1" x="5704"/>
        <item m="1" x="3761"/>
        <item m="1" x="5705"/>
        <item m="1" x="3762"/>
        <item m="1" x="5706"/>
        <item m="1" x="3763"/>
        <item m="1" x="3764"/>
        <item m="1" x="5707"/>
        <item m="1" x="5708"/>
        <item m="1" x="1850"/>
        <item m="1" x="3765"/>
        <item m="1" x="1851"/>
        <item m="1" x="5709"/>
        <item m="1" x="5710"/>
        <item m="1" x="5711"/>
        <item m="1" x="5712"/>
        <item m="1" x="1852"/>
        <item m="1" x="3766"/>
        <item m="1" x="5713"/>
        <item m="1" x="5714"/>
        <item m="1" x="5715"/>
        <item m="1" x="5716"/>
        <item m="1" x="5717"/>
        <item m="1" x="5718"/>
        <item m="1" x="3767"/>
        <item m="1" x="3768"/>
        <item m="1" x="5719"/>
        <item m="1" x="3769"/>
        <item m="1" x="1853"/>
        <item m="1" x="1854"/>
        <item m="1" x="1855"/>
        <item m="1" x="3770"/>
        <item m="1" x="1856"/>
        <item m="1" x="5720"/>
        <item m="1" x="1857"/>
        <item m="1" x="5721"/>
        <item m="1" x="1858"/>
        <item m="1" x="5722"/>
        <item m="1" x="3771"/>
        <item m="1" x="3772"/>
        <item m="1" x="1859"/>
        <item m="1" x="3773"/>
        <item m="1" x="5723"/>
        <item m="1" x="1860"/>
        <item m="1" x="5724"/>
        <item m="1" x="5725"/>
        <item m="1" x="5726"/>
        <item m="1" x="5727"/>
        <item m="1" x="1861"/>
        <item m="1" x="1862"/>
        <item m="1" x="3774"/>
        <item m="1" x="5728"/>
        <item m="1" x="5729"/>
        <item m="1" x="5730"/>
        <item m="1" x="3775"/>
        <item m="1" x="5731"/>
        <item m="1" x="5732"/>
        <item m="1" x="5733"/>
        <item m="1" x="3776"/>
        <item m="1" x="3777"/>
        <item m="1" x="1863"/>
        <item m="1" x="1864"/>
        <item m="1" x="5734"/>
        <item m="1" x="3778"/>
        <item m="1" x="1865"/>
        <item m="1" x="5735"/>
        <item m="1" x="3779"/>
        <item m="1" x="5736"/>
        <item m="1" x="1866"/>
        <item m="1" x="1867"/>
        <item m="1" x="3780"/>
        <item m="1" x="1868"/>
        <item m="1" x="5737"/>
        <item m="1" x="3781"/>
        <item m="1" x="1869"/>
        <item m="1" x="3782"/>
        <item m="1" x="1870"/>
        <item m="1" x="1871"/>
        <item m="1" x="1872"/>
        <item m="1" x="5738"/>
        <item m="1" x="3783"/>
        <item m="1" x="1873"/>
        <item m="1" x="3784"/>
        <item m="1" x="3785"/>
        <item m="1" x="1874"/>
        <item m="1" x="3786"/>
        <item m="1" x="1875"/>
        <item m="1" x="3787"/>
        <item m="1" x="1876"/>
        <item m="1" x="3788"/>
        <item m="1" x="5739"/>
        <item m="1" x="5740"/>
        <item m="1" x="3789"/>
        <item m="1" x="5741"/>
        <item m="1" x="1877"/>
        <item m="1" x="1878"/>
        <item m="1" x="3790"/>
        <item m="1" x="3791"/>
        <item m="1" x="3792"/>
        <item m="1" x="3793"/>
        <item m="1" x="1879"/>
        <item m="1" x="1880"/>
        <item m="1" x="3794"/>
        <item m="1" x="5742"/>
        <item m="1" x="3795"/>
        <item m="1" x="5743"/>
        <item m="1" x="1881"/>
        <item m="1" x="1882"/>
        <item m="1" x="5744"/>
        <item m="1" x="3796"/>
        <item m="1" x="3797"/>
        <item m="1" x="3798"/>
        <item m="1" x="5745"/>
        <item m="1" x="3799"/>
        <item m="1" x="3800"/>
        <item m="1" x="1883"/>
        <item m="1" x="5746"/>
        <item m="1" x="1884"/>
        <item m="1" x="5747"/>
        <item m="1" x="1885"/>
        <item m="1" x="3801"/>
        <item m="1" x="1886"/>
        <item m="1" x="1887"/>
        <item m="1" x="1888"/>
        <item m="1" x="5748"/>
        <item m="1" x="3802"/>
        <item m="1" x="3803"/>
        <item m="1" x="1889"/>
        <item m="1" x="5749"/>
        <item m="1" x="5750"/>
        <item m="1" x="5751"/>
        <item m="1" x="5752"/>
        <item m="1" x="1890"/>
        <item m="1" x="5753"/>
        <item m="1" x="1891"/>
        <item m="1" x="1892"/>
        <item m="1" x="3804"/>
        <item m="1" x="5754"/>
        <item m="1" x="1893"/>
        <item m="1" x="3805"/>
        <item m="1" x="1894"/>
        <item m="1" x="1895"/>
        <item m="1" x="1896"/>
        <item m="1" x="3806"/>
        <item m="1" x="3807"/>
        <item m="1" x="1897"/>
        <item m="1" x="1898"/>
        <item m="1" x="5755"/>
        <item m="1" x="5756"/>
        <item m="1" x="1899"/>
        <item m="1" x="1900"/>
        <item m="1" x="5757"/>
        <item m="1" x="1901"/>
        <item m="1" x="3808"/>
        <item m="1" x="5758"/>
        <item m="1" x="5759"/>
        <item m="1" x="3809"/>
        <item m="1" x="3810"/>
        <item m="1" x="1902"/>
        <item m="1" x="3811"/>
        <item m="1" x="3812"/>
        <item m="1" x="3813"/>
        <item m="1" x="5760"/>
        <item m="1" x="5761"/>
        <item m="1" x="3814"/>
        <item m="1" x="5762"/>
        <item m="1" x="3815"/>
        <item m="1" x="5763"/>
        <item m="1" x="1903"/>
        <item m="1" x="3816"/>
        <item m="1" x="3817"/>
        <item m="1" x="3818"/>
        <item m="1" x="1904"/>
        <item m="1" x="5764"/>
        <item m="1" x="1905"/>
        <item m="1" x="3819"/>
        <item m="1" x="1906"/>
        <item m="1" x="5765"/>
        <item m="1" x="5766"/>
        <item m="1" x="5767"/>
        <item m="1" x="1907"/>
        <item m="1" x="5768"/>
        <item m="1" x="5769"/>
        <item m="1" x="3820"/>
        <item m="1" x="3821"/>
        <item m="1" x="1908"/>
        <item m="1" x="1909"/>
        <item m="1" x="1910"/>
        <item m="1" x="3822"/>
        <item m="1" x="5770"/>
        <item m="1" x="1911"/>
        <item m="1" x="3823"/>
        <item m="1" x="5771"/>
        <item m="1" x="3824"/>
        <item m="1" x="5772"/>
        <item m="1" x="5773"/>
        <item m="1" x="1912"/>
        <item m="1" x="1913"/>
        <item m="1" x="1914"/>
        <item m="1" x="5774"/>
        <item m="1" x="1915"/>
        <item m="1" x="3825"/>
        <item m="1" x="1916"/>
        <item m="1" x="3826"/>
        <item m="1" x="5775"/>
        <item m="1" x="3827"/>
        <item m="1" x="5776"/>
        <item m="1" x="5777"/>
        <item m="1" x="3828"/>
        <item m="1" x="3829"/>
        <item m="1" x="3830"/>
        <item m="1" x="1917"/>
        <item m="1" x="1918"/>
        <item m="1" x="1919"/>
        <item m="1" x="1920"/>
        <item m="1" x="3831"/>
        <item m="1" x="1921"/>
        <item m="1" x="5778"/>
        <item m="1" x="1922"/>
        <item m="1" x="5779"/>
        <item m="1" x="3832"/>
        <item m="1" x="5780"/>
        <item m="1" x="5781"/>
        <item m="1" x="3833"/>
        <item m="1" x="5782"/>
        <item m="1" x="5783"/>
        <item m="1" x="3834"/>
        <item m="1" x="5784"/>
        <item m="1" x="1923"/>
        <item m="1" x="3835"/>
        <item m="1" x="5785"/>
        <item m="1" x="1924"/>
        <item m="1" x="1925"/>
        <item m="1" x="5786"/>
        <item m="1" x="1926"/>
        <item m="1" x="5787"/>
        <item m="1" x="3836"/>
        <item m="1" x="5788"/>
        <item m="1" x="3837"/>
        <item m="1" x="5789"/>
        <item m="1" x="1927"/>
        <item m="1" x="3838"/>
        <item m="1" x="1928"/>
        <item m="1" x="5790"/>
        <item m="1" x="3839"/>
        <item m="1" x="3840"/>
        <item m="1" x="5791"/>
        <item m="1" x="1929"/>
        <item m="1" x="3841"/>
        <item m="1" x="3842"/>
        <item m="1" x="1930"/>
        <item m="1" x="1931"/>
        <item m="1" x="3843"/>
        <item m="1" x="5792"/>
        <item m="1" x="5793"/>
        <item m="1" x="1932"/>
        <item m="1" x="1933"/>
        <item m="1" x="3844"/>
        <item m="1" x="5794"/>
        <item m="1" x="3845"/>
        <item m="1" x="1934"/>
        <item m="1" x="5795"/>
        <item m="1" x="3846"/>
        <item m="1" x="5796"/>
        <item m="1" x="3847"/>
        <item m="1" x="5797"/>
        <item m="1" x="1935"/>
        <item m="1" x="3848"/>
        <item m="1" x="1936"/>
        <item m="1" x="1937"/>
        <item m="1" x="1938"/>
        <item m="1" x="3849"/>
        <item m="1" x="5798"/>
        <item m="1" x="5799"/>
        <item m="1" x="1939"/>
        <item m="1" x="5800"/>
        <item m="1" x="1940"/>
        <item m="1" x="3850"/>
        <item m="1" x="1941"/>
        <item m="1" x="5801"/>
        <item m="1" x="1942"/>
        <item m="1" x="5802"/>
        <item m="1" x="1943"/>
        <item m="1" x="1944"/>
        <item m="1" x="5803"/>
        <item m="1" x="1945"/>
        <item m="1" x="3851"/>
        <item m="1" x="5804"/>
        <item m="1" x="1946"/>
        <item m="1" x="3852"/>
        <item m="1" x="3853"/>
        <item m="1" x="1947"/>
        <item m="1" x="5805"/>
        <item m="1" x="1948"/>
        <item m="1" x="3854"/>
        <item m="1" x="1949"/>
        <item m="1" x="3855"/>
        <item m="1" x="5806"/>
        <item m="1" x="1950"/>
        <item m="1" x="5807"/>
        <item m="1" x="5808"/>
        <item m="1" x="3856"/>
        <item m="1" x="3857"/>
        <item m="1" x="1951"/>
        <item m="1" x="1952"/>
        <item m="1" x="5809"/>
        <item m="1" x="5810"/>
        <item m="1" x="1953"/>
        <item m="1" x="1954"/>
        <item m="1" x="1955"/>
        <item m="1" x="1956"/>
        <item m="1" x="1957"/>
        <item m="1" x="3858"/>
        <item m="1" x="5811"/>
        <item m="1" x="1958"/>
        <item m="1" x="1959"/>
        <item m="1" x="3859"/>
        <item m="1" x="5812"/>
        <item m="1" x="3860"/>
        <item m="1" x="3861"/>
        <item m="1" x="1960"/>
        <item m="1" x="5813"/>
        <item m="1" x="5814"/>
        <item m="1" x="5815"/>
        <item m="1" x="3862"/>
        <item m="1" x="3863"/>
        <item m="1" x="3864"/>
        <item m="1" x="5816"/>
        <item m="1" x="5817"/>
        <item m="1" x="5818"/>
        <item m="1" x="5819"/>
        <item m="1" x="3865"/>
        <item m="1" x="3866"/>
        <item m="1" x="5820"/>
        <item m="1" x="5821"/>
        <item m="1" x="5822"/>
        <item m="1" x="5823"/>
        <item m="1" x="5824"/>
        <item m="1" x="1961"/>
        <item m="1" x="5825"/>
        <item m="1" x="5826"/>
        <item m="1" x="5827"/>
        <item m="1" x="1962"/>
        <item m="1" x="5828"/>
        <item m="1" x="5829"/>
        <item m="1" x="5830"/>
        <item m="1" x="3867"/>
        <item m="1" x="5831"/>
        <item m="1" x="1963"/>
        <item m="1" x="5832"/>
        <item m="1" x="3868"/>
        <item m="1" x="3869"/>
        <item m="1" x="3870"/>
        <item m="1" x="3871"/>
        <item m="1" x="1964"/>
        <item m="1" x="5833"/>
        <item m="1" x="3872"/>
        <item m="1" x="1965"/>
        <item m="1" x="1966"/>
        <item m="1" x="3873"/>
        <item m="1" x="5834"/>
        <item m="1" x="3874"/>
        <item m="1" x="3875"/>
        <item m="1" x="5835"/>
        <item m="1" x="3876"/>
        <item m="1" x="1967"/>
        <item m="1" x="5836"/>
        <item m="1" x="3877"/>
        <item m="1" x="3878"/>
        <item m="1" x="3879"/>
        <item m="1" x="3880"/>
        <item m="1" x="3881"/>
        <item m="1" x="5837"/>
        <item m="1" x="1968"/>
        <item m="1" x="5838"/>
        <item m="1" x="1969"/>
        <item m="1" x="1970"/>
        <item m="1" x="197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</pivotField>
    <pivotField axis="axisRow" compact="0" outline="0" showAll="0" defaultSubtotal="0">
      <items count="5841">
        <item m="1" x="4170"/>
        <item m="1" x="538"/>
        <item m="1" x="4172"/>
        <item m="1" x="5484"/>
        <item m="1" x="537"/>
        <item m="1" x="536"/>
        <item m="1" x="535"/>
        <item m="1" x="5442"/>
        <item m="1" x="4164"/>
        <item m="1" x="5472"/>
        <item m="1" x="5460"/>
        <item m="1" x="4173"/>
        <item m="1" x="5463"/>
        <item m="1" x="5461"/>
        <item m="1" x="5483"/>
        <item m="1" x="5553"/>
        <item m="1" x="4177"/>
        <item m="1" x="5486"/>
        <item m="1" x="2382"/>
        <item m="1" x="5488"/>
        <item m="1" x="2398"/>
        <item m="1" x="2404"/>
        <item m="1" x="2393"/>
        <item m="1" x="1919"/>
        <item m="1" x="1964"/>
        <item m="1" x="3687"/>
        <item m="1" x="3688"/>
        <item m="1" x="1990"/>
        <item m="1" x="3740"/>
        <item m="1" x="1982"/>
        <item m="1" x="164"/>
        <item m="1" x="3762"/>
        <item m="1" x="152"/>
        <item m="1" x="153"/>
        <item m="1" x="147"/>
        <item m="1" x="150"/>
        <item m="1" x="1991"/>
        <item m="1" x="1981"/>
        <item m="1" x="146"/>
        <item m="1" x="3756"/>
        <item m="1" x="3763"/>
        <item m="1" x="3746"/>
        <item m="1" x="1989"/>
        <item m="1" x="1983"/>
        <item m="1" x="1985"/>
        <item m="1" x="3757"/>
        <item m="1" x="154"/>
        <item m="1" x="3853"/>
        <item m="1" x="2000"/>
        <item m="1" x="2061"/>
        <item m="1" x="2071"/>
        <item m="1" x="3728"/>
        <item m="1" x="1915"/>
        <item m="1" x="1912"/>
        <item m="1" x="1914"/>
        <item m="1" x="3676"/>
        <item m="1" x="3682"/>
        <item m="1" x="1913"/>
        <item m="1" x="3681"/>
        <item m="1" x="73"/>
        <item m="1" x="77"/>
        <item m="1" x="3764"/>
        <item m="1" x="1996"/>
        <item m="1" x="156"/>
        <item m="1" x="3765"/>
        <item m="1" x="84"/>
        <item m="1" x="1920"/>
        <item m="1" x="3787"/>
        <item m="1" x="2001"/>
        <item m="1" x="130"/>
        <item m="1" x="1965"/>
        <item m="1" x="3739"/>
        <item m="1" x="78"/>
        <item m="1" x="3678"/>
        <item m="1" x="3758"/>
        <item m="1" x="1992"/>
        <item m="1" x="3741"/>
        <item m="1" x="1987"/>
        <item m="1" x="165"/>
        <item m="1" x="169"/>
        <item m="1" x="1988"/>
        <item m="1" x="155"/>
        <item m="1" x="148"/>
        <item m="1" x="3744"/>
        <item m="1" x="145"/>
        <item m="1" x="3684"/>
        <item m="1" x="3679"/>
        <item m="1" x="1998"/>
        <item m="1" x="1993"/>
        <item m="1" x="3742"/>
        <item m="1" x="3745"/>
        <item m="1" x="166"/>
        <item m="1" x="3761"/>
        <item m="1" x="3747"/>
        <item m="1" x="3750"/>
        <item m="1" x="149"/>
        <item m="1" x="1986"/>
        <item m="1" x="171"/>
        <item m="1" x="3841"/>
        <item m="1" x="172"/>
        <item m="1" x="1917"/>
        <item m="1" x="3755"/>
        <item m="1" x="3759"/>
        <item m="1" x="1984"/>
        <item m="1" x="151"/>
        <item m="1" x="163"/>
        <item m="1" x="3760"/>
        <item m="1" x="3748"/>
        <item m="1" x="3749"/>
        <item m="1" x="3743"/>
        <item m="1" x="2002"/>
        <item m="1" x="173"/>
        <item m="1" x="83"/>
        <item m="1" x="89"/>
        <item m="1" x="86"/>
        <item m="1" x="3753"/>
        <item m="1" x="1925"/>
        <item m="1" x="2003"/>
        <item m="1" x="174"/>
        <item m="1" x="3851"/>
        <item m="1" x="3857"/>
        <item m="1" x="3829"/>
        <item m="1" x="222"/>
        <item m="1" x="3826"/>
        <item m="1" x="3828"/>
        <item m="1" x="3827"/>
        <item m="1" x="3858"/>
        <item m="1" x="3860"/>
        <item m="1" x="3854"/>
        <item m="1" x="267"/>
        <item m="1" x="3831"/>
        <item m="1" x="223"/>
        <item m="1" x="3880"/>
        <item m="1" x="3867"/>
        <item m="1" x="285"/>
        <item m="1" x="2092"/>
        <item m="1" x="262"/>
        <item m="1" x="250"/>
        <item m="1" x="2087"/>
        <item m="1" x="260"/>
        <item m="1" x="2094"/>
        <item m="1" x="2090"/>
        <item m="1" x="3871"/>
        <item m="1" x="3893"/>
        <item m="1" x="265"/>
        <item m="1" x="3869"/>
        <item m="1" x="3863"/>
        <item m="1" x="3861"/>
        <item m="1" x="2076"/>
        <item m="1" x="1977"/>
        <item m="1" x="261"/>
        <item m="1" x="246"/>
        <item m="1" x="2113"/>
        <item m="1" x="272"/>
        <item m="1" x="3897"/>
        <item m="1" x="249"/>
        <item m="1" x="3875"/>
        <item m="1" x="243"/>
        <item m="1" x="3866"/>
        <item m="1" x="2112"/>
        <item m="1" x="3844"/>
        <item m="1" x="276"/>
        <item m="1" x="224"/>
        <item m="1" x="287"/>
        <item m="1" x="239"/>
        <item m="1" x="2080"/>
        <item m="1" x="282"/>
        <item m="1" x="2103"/>
        <item m="1" x="2105"/>
        <item m="1" x="270"/>
        <item m="1" x="3887"/>
        <item m="1" x="280"/>
        <item m="1" x="2116"/>
        <item m="1" x="2108"/>
        <item m="1" x="274"/>
        <item m="1" x="3891"/>
        <item m="1" x="3865"/>
        <item m="1" x="3876"/>
        <item m="1" x="3830"/>
        <item m="1" x="2100"/>
        <item m="1" x="2057"/>
        <item m="1" x="3725"/>
        <item m="1" x="129"/>
        <item m="1" x="1922"/>
        <item m="1" x="3692"/>
        <item m="1" x="3751"/>
        <item m="1" x="167"/>
        <item m="1" x="127"/>
        <item m="1" x="1924"/>
        <item m="1" x="170"/>
        <item m="1" x="74"/>
        <item m="1" x="160"/>
        <item m="1" x="1999"/>
        <item m="1" x="75"/>
        <item m="1" x="1994"/>
        <item m="1" x="82"/>
        <item m="1" x="1923"/>
        <item m="1" x="88"/>
        <item m="1" x="87"/>
        <item m="1" x="85"/>
        <item m="1" x="3724"/>
        <item m="1" x="126"/>
        <item m="1" x="1959"/>
        <item m="1" x="1960"/>
        <item m="1" x="2004"/>
        <item m="1" x="3752"/>
        <item m="1" x="162"/>
        <item m="1" x="1995"/>
        <item m="1" x="2005"/>
        <item m="1" x="3726"/>
        <item m="1" x="3727"/>
        <item m="1" x="3852"/>
        <item m="1" x="1916"/>
        <item m="1" x="3677"/>
        <item m="1" x="3683"/>
        <item m="1" x="2006"/>
        <item m="1" x="90"/>
        <item m="1" x="1921"/>
        <item m="1" x="3690"/>
        <item m="1" x="3689"/>
        <item m="1" x="1962"/>
        <item m="1" x="3722"/>
        <item m="1" x="3723"/>
        <item m="1" x="1961"/>
        <item m="1" x="3766"/>
        <item m="1" x="1630"/>
        <item m="1" x="2059"/>
        <item m="1" x="3436"/>
        <item m="1" x="3838"/>
        <item m="1" x="3437"/>
        <item m="1" x="2007"/>
        <item m="1" x="3686"/>
        <item m="1" x="1918"/>
        <item m="1" x="128"/>
        <item m="1" x="1963"/>
        <item m="1" x="131"/>
        <item m="1" x="1966"/>
        <item m="1" x="79"/>
        <item m="1" x="3680"/>
        <item m="1" x="3685"/>
        <item m="1" x="76"/>
        <item m="1" x="3767"/>
        <item m="1" x="2070"/>
        <item m="1" x="235"/>
        <item m="1" x="226"/>
        <item m="1" x="225"/>
        <item m="1" x="3832"/>
        <item m="1" x="3834"/>
        <item m="1" x="3833"/>
        <item m="1" x="3859"/>
        <item m="1" x="237"/>
        <item m="1" x="3855"/>
        <item m="1" x="3882"/>
        <item m="1" x="3835"/>
        <item m="1" x="3836"/>
        <item m="1" x="266"/>
        <item m="1" x="3868"/>
        <item m="1" x="257"/>
        <item m="1" x="258"/>
        <item m="1" x="263"/>
        <item m="1" x="251"/>
        <item m="1" x="253"/>
        <item m="1" x="3872"/>
        <item m="1" x="2095"/>
        <item m="1" x="2091"/>
        <item m="1" x="255"/>
        <item m="1" x="2110"/>
        <item m="1" x="3878"/>
        <item m="1" x="2089"/>
        <item m="1" x="2074"/>
        <item m="1" x="3862"/>
        <item m="1" x="2077"/>
        <item m="1" x="3874"/>
        <item m="1" x="2084"/>
        <item m="1" x="3896"/>
        <item m="1" x="2107"/>
        <item m="1" x="284"/>
        <item m="1" x="2085"/>
        <item m="1" x="2097"/>
        <item m="1" x="2082"/>
        <item m="1" x="245"/>
        <item m="1" x="278"/>
        <item m="1" x="2067"/>
        <item m="1" x="277"/>
        <item m="1" x="3837"/>
        <item m="1" x="288"/>
        <item m="1" x="240"/>
        <item m="1" x="3864"/>
        <item m="1" x="283"/>
        <item m="1" x="2104"/>
        <item m="1" x="269"/>
        <item m="1" x="271"/>
        <item m="1" x="3888"/>
        <item m="1" x="2114"/>
        <item m="1" x="2117"/>
        <item m="1" x="2109"/>
        <item m="1" x="3889"/>
        <item m="1" x="3892"/>
        <item m="1" x="241"/>
        <item m="1" x="3877"/>
        <item m="1" x="227"/>
        <item m="1" x="2101"/>
        <item m="1" x="2058"/>
        <item m="1" x="2064"/>
        <item m="1" x="159"/>
        <item m="1" x="161"/>
        <item m="1" x="3754"/>
        <item m="1" x="175"/>
        <item m="1" x="2062"/>
        <item m="1" x="97"/>
        <item m="1" x="2049"/>
        <item m="1" x="3814"/>
        <item m="1" x="214"/>
        <item m="1" x="3719"/>
        <item m="1" x="1940"/>
        <item m="1" x="3710"/>
        <item m="1" x="1941"/>
        <item m="1" x="52"/>
        <item m="1" x="1942"/>
        <item m="1" x="3699"/>
        <item m="1" x="106"/>
        <item m="1" x="3706"/>
        <item m="1" x="101"/>
        <item m="1" x="1939"/>
        <item m="1" x="99"/>
        <item m="1" x="3700"/>
        <item m="1" x="3708"/>
        <item m="1" x="105"/>
        <item m="1" x="1931"/>
        <item m="1" x="3707"/>
        <item m="1" x="100"/>
        <item m="1" x="1943"/>
        <item m="1" x="1944"/>
        <item m="1" x="1945"/>
        <item m="1" x="108"/>
        <item m="1" x="3713"/>
        <item m="1" x="1946"/>
        <item m="1" x="1947"/>
        <item m="1" x="109"/>
        <item m="1" x="3714"/>
        <item m="1" x="3715"/>
        <item m="1" x="110"/>
        <item m="1" x="3716"/>
        <item m="1" x="111"/>
        <item m="1" x="112"/>
        <item m="1" x="102"/>
        <item m="1" x="3702"/>
        <item m="1" x="230"/>
        <item m="1" x="3842"/>
        <item m="1" x="2063"/>
        <item m="1" x="3664"/>
        <item m="1" x="1980"/>
        <item m="1" x="3820"/>
        <item m="1" x="2072"/>
        <item m="1" x="2055"/>
        <item m="1" x="2054"/>
        <item m="1" x="3823"/>
        <item m="1" x="218"/>
        <item m="1" x="3824"/>
        <item m="1" x="236"/>
        <item m="1" x="2073"/>
        <item m="1" x="3856"/>
        <item m="1" x="268"/>
        <item m="1" x="3825"/>
        <item m="1" x="221"/>
        <item m="1" x="3881"/>
        <item m="1" x="248"/>
        <item m="1" x="286"/>
        <item m="1" x="259"/>
        <item m="1" x="264"/>
        <item m="1" x="252"/>
        <item m="1" x="2088"/>
        <item m="1" x="3873"/>
        <item m="1" x="2096"/>
        <item m="1" x="254"/>
        <item m="1" x="256"/>
        <item m="1" x="2111"/>
        <item m="1" x="3879"/>
        <item m="1" x="3870"/>
        <item m="1" x="2075"/>
        <item m="1" x="238"/>
        <item m="1" x="2078"/>
        <item m="1" x="2093"/>
        <item m="1" x="247"/>
        <item m="1" x="279"/>
        <item m="1" x="3885"/>
        <item m="1" x="3898"/>
        <item m="1" x="2086"/>
        <item m="1" x="2098"/>
        <item m="1" x="244"/>
        <item m="1" x="2083"/>
        <item m="1" x="3895"/>
        <item m="1" x="231"/>
        <item m="1" x="3894"/>
        <item m="1" x="2056"/>
        <item m="1" x="3900"/>
        <item m="1" x="2079"/>
        <item m="1" x="2081"/>
        <item m="1" x="2115"/>
        <item m="1" x="3883"/>
        <item m="1" x="2106"/>
        <item m="1" x="3884"/>
        <item m="1" x="273"/>
        <item m="1" x="281"/>
        <item m="1" x="3899"/>
        <item m="1" x="3886"/>
        <item m="1" x="3890"/>
        <item m="1" x="275"/>
        <item m="1" x="242"/>
        <item m="1" x="2099"/>
        <item m="1" x="2065"/>
        <item m="1" x="1975"/>
        <item m="1" x="219"/>
        <item m="1" x="2102"/>
        <item m="1" x="220"/>
        <item m="1" x="80"/>
        <item m="1" x="81"/>
        <item m="1" x="1997"/>
        <item m="1" x="157"/>
        <item m="1" x="158"/>
        <item m="1" x="3768"/>
        <item m="1" x="91"/>
        <item m="1" x="3691"/>
        <item m="1" x="168"/>
        <item m="1" x="143"/>
        <item m="1" x="3738"/>
        <item m="1" x="144"/>
        <item m="1" x="1926"/>
        <item m="1" x="2008"/>
        <item m="1" x="3736"/>
        <item m="1" x="3737"/>
        <item m="1" x="141"/>
        <item m="1" x="1895"/>
        <item m="1" x="1891"/>
        <item m="1" x="61"/>
        <item m="1" x="1889"/>
        <item m="1" x="67"/>
        <item m="1" x="3658"/>
        <item m="1" x="3665"/>
        <item m="1" x="1907"/>
        <item m="1" x="54"/>
        <item m="1" x="3771"/>
        <item m="1" x="2053"/>
        <item m="1" x="233"/>
        <item m="1" x="290"/>
        <item m="1" x="3668"/>
        <item m="1" x="1903"/>
        <item m="1" x="51"/>
        <item m="1" x="3660"/>
        <item m="1" x="65"/>
        <item m="1" x="3666"/>
        <item m="1" x="1894"/>
        <item m="1" x="181"/>
        <item m="1" x="68"/>
        <item m="1" x="3777"/>
        <item m="1" x="182"/>
        <item m="1" x="1908"/>
        <item m="1" x="3778"/>
        <item m="1" x="1896"/>
        <item m="1" x="66"/>
        <item m="1" x="1974"/>
        <item m="1" x="3669"/>
        <item m="1" x="3655"/>
        <item m="1" x="1897"/>
        <item m="1" x="289"/>
        <item m="1" x="2010"/>
        <item m="1" x="3783"/>
        <item m="1" x="2011"/>
        <item m="1" x="1892"/>
        <item m="1" x="1901"/>
        <item m="1" x="2018"/>
        <item m="1" x="3670"/>
        <item m="1" x="3779"/>
        <item m="1" x="3784"/>
        <item m="1" x="2012"/>
        <item m="1" x="1893"/>
        <item m="1" x="1902"/>
        <item m="1" x="3786"/>
        <item m="1" x="3671"/>
        <item m="1" x="3780"/>
        <item m="1" x="2013"/>
        <item m="1" x="133"/>
        <item m="1" x="62"/>
        <item m="1" x="3734"/>
        <item m="1" x="137"/>
        <item m="1" x="3774"/>
        <item m="1" x="1890"/>
        <item m="1" x="3656"/>
        <item m="1" x="55"/>
        <item m="1" x="1909"/>
        <item m="1" x="3659"/>
        <item m="1" x="69"/>
        <item m="1" x="1971"/>
        <item m="1" x="232"/>
        <item m="1" x="3848"/>
        <item m="1" x="136"/>
        <item m="1" x="177"/>
        <item m="1" x="70"/>
        <item m="1" x="3849"/>
        <item m="1" x="2014"/>
        <item m="1" x="3672"/>
        <item m="1" x="1970"/>
        <item m="1" x="2068"/>
        <item m="1" x="3770"/>
        <item m="1" x="71"/>
        <item m="1" x="2069"/>
        <item m="1" x="1976"/>
        <item m="1" x="3675"/>
        <item m="1" x="1904"/>
        <item m="1" x="3769"/>
        <item m="1" x="3788"/>
        <item m="1" x="142"/>
        <item m="1" x="60"/>
        <item m="1" x="3847"/>
        <item m="1" x="2016"/>
        <item m="1" x="1972"/>
        <item m="1" x="134"/>
        <item m="1" x="3729"/>
        <item m="1" x="3732"/>
        <item m="1" x="3730"/>
        <item m="1" x="1900"/>
        <item m="1" x="59"/>
        <item m="1" x="58"/>
        <item m="1" x="228"/>
        <item m="1" x="57"/>
        <item m="1" x="183"/>
        <item m="1" x="180"/>
        <item m="1" x="3776"/>
        <item m="1" x="3735"/>
        <item m="1" x="3657"/>
        <item m="1" x="3673"/>
        <item m="1" x="1898"/>
        <item m="1" x="3785"/>
        <item m="1" x="234"/>
        <item m="1" x="1910"/>
        <item m="1" x="2015"/>
        <item m="1" x="3662"/>
        <item m="1" x="3661"/>
        <item m="1" x="1906"/>
        <item m="1" x="2019"/>
        <item m="1" x="1978"/>
        <item m="1" x="178"/>
        <item m="1" x="3773"/>
        <item m="1" x="1899"/>
        <item m="1" x="179"/>
        <item m="1" x="56"/>
        <item m="1" x="1911"/>
        <item m="1" x="1968"/>
        <item m="1" x="3731"/>
        <item m="1" x="1969"/>
        <item m="1" x="3667"/>
        <item m="1" x="3663"/>
        <item m="1" x="135"/>
        <item m="1" x="1967"/>
        <item m="1" x="3733"/>
        <item m="1" x="132"/>
        <item m="1" x="3816"/>
        <item m="1" x="3817"/>
        <item m="1" x="3818"/>
        <item m="1" x="2050"/>
        <item m="1" x="215"/>
        <item m="1" x="3815"/>
        <item m="1" x="2052"/>
        <item m="1" x="3819"/>
        <item m="1" x="216"/>
        <item m="1" x="2051"/>
        <item m="1" x="107"/>
        <item m="1" x="3694"/>
        <item m="1" x="3695"/>
        <item m="1" x="3712"/>
        <item m="1" x="3701"/>
        <item m="1" x="113"/>
        <item m="1" x="3703"/>
        <item m="1" x="1934"/>
        <item m="1" x="1933"/>
        <item m="1" x="1932"/>
        <item m="1" x="1952"/>
        <item m="1" x="1953"/>
        <item m="1" x="1935"/>
        <item m="1" x="104"/>
        <item m="1" x="1936"/>
        <item m="1" x="1937"/>
        <item m="1" x="1928"/>
        <item m="1" x="95"/>
        <item m="1" x="3696"/>
        <item m="1" x="3697"/>
        <item m="1" x="1929"/>
        <item m="1" x="1930"/>
        <item m="1" x="2026"/>
        <item m="1" x="191"/>
        <item m="1" x="210"/>
        <item m="1" x="3797"/>
        <item m="1" x="205"/>
        <item m="1" x="2032"/>
        <item m="1" x="203"/>
        <item m="1" x="204"/>
        <item m="1" x="202"/>
        <item m="1" x="198"/>
        <item m="1" x="199"/>
        <item m="1" x="2027"/>
        <item m="1" x="194"/>
        <item m="1" x="195"/>
        <item m="1" x="196"/>
        <item m="1" x="197"/>
        <item m="1" x="3799"/>
        <item m="1" x="2028"/>
        <item m="1" x="193"/>
        <item m="1" x="192"/>
        <item m="1" x="3798"/>
        <item m="1" x="3803"/>
        <item m="1" x="200"/>
        <item m="1" x="2029"/>
        <item m="1" x="3800"/>
        <item m="1" x="3801"/>
        <item m="1" x="2030"/>
        <item m="1" x="201"/>
        <item m="1" x="2031"/>
        <item m="1" x="3802"/>
        <item m="1" x="209"/>
        <item m="1" x="2043"/>
        <item m="1" x="2044"/>
        <item m="1" x="2045"/>
        <item m="1" x="206"/>
        <item m="1" x="207"/>
        <item m="1" x="2034"/>
        <item m="1" x="3804"/>
        <item m="1" x="2033"/>
        <item m="1" x="3805"/>
        <item m="1" x="3806"/>
        <item m="1" x="3807"/>
        <item m="1" x="2035"/>
        <item m="1" x="3808"/>
        <item m="1" x="2036"/>
        <item m="1" x="2037"/>
        <item m="1" x="2038"/>
        <item m="1" x="2039"/>
        <item m="1" x="2040"/>
        <item m="1" x="2041"/>
        <item m="1" x="2042"/>
        <item m="1" x="3809"/>
        <item m="1" x="208"/>
        <item m="1" x="3850"/>
        <item m="1" x="176"/>
        <item m="1" x="2009"/>
        <item m="1" x="1973"/>
        <item m="1" x="3845"/>
        <item m="1" x="138"/>
        <item m="1" x="3846"/>
        <item m="1" x="139"/>
        <item m="1" x="1905"/>
        <item m="1" x="64"/>
        <item m="1" x="63"/>
        <item m="1" x="2017"/>
        <item m="1" x="2066"/>
        <item m="1" x="53"/>
        <item m="1" x="3781"/>
        <item m="1" x="184"/>
        <item m="1" x="3843"/>
        <item m="1" x="3782"/>
        <item m="1" x="3772"/>
        <item m="1" x="3775"/>
        <item m="1" x="525"/>
        <item m="1" x="527"/>
        <item m="1" x="3674"/>
        <item m="1" x="72"/>
        <item m="1" x="5479"/>
        <item m="1" x="3822"/>
        <item m="1" x="217"/>
        <item m="1" x="5604"/>
        <item m="1" x="4167"/>
        <item m="1" x="5466"/>
        <item m="1" x="103"/>
        <item m="1" x="3704"/>
        <item m="1" x="3705"/>
        <item m="1" x="3720"/>
        <item m="1" x="121"/>
        <item m="1" x="1949"/>
        <item m="1" x="115"/>
        <item m="1" x="1950"/>
        <item m="1" x="1948"/>
        <item m="1" x="116"/>
        <item m="1" x="3718"/>
        <item m="1" x="118"/>
        <item m="1" x="117"/>
        <item m="1" x="1951"/>
        <item m="1" x="119"/>
        <item m="1" x="3698"/>
        <item m="1" x="93"/>
        <item m="1" x="1927"/>
        <item m="1" x="3693"/>
        <item m="1" x="94"/>
        <item m="1" x="92"/>
        <item m="1" x="3709"/>
        <item m="1" x="98"/>
        <item m="1" x="114"/>
        <item m="1" x="3717"/>
        <item m="1" x="122"/>
        <item m="1" x="120"/>
        <item m="1" x="3721"/>
        <item m="1" x="1955"/>
        <item m="1" x="1956"/>
        <item m="1" x="123"/>
        <item m="1" x="1957"/>
        <item m="1" x="1958"/>
        <item m="1" x="3711"/>
        <item m="1" x="124"/>
        <item m="1" x="125"/>
        <item m="1" x="212"/>
        <item m="1" x="2048"/>
        <item m="1" x="213"/>
        <item m="1" x="3813"/>
        <item m="1" x="3810"/>
        <item m="1" x="2047"/>
        <item m="1" x="211"/>
        <item m="1" x="3811"/>
        <item m="1" x="2046"/>
        <item m="1" x="3812"/>
        <item m="1" x="96"/>
        <item m="1" x="2060"/>
        <item m="1" x="229"/>
        <item m="1" x="3839"/>
        <item m="1" x="3840"/>
        <item m="1" x="3821"/>
        <item m="1" x="185"/>
        <item m="1" x="2020"/>
        <item m="1" x="3789"/>
        <item m="1" x="186"/>
        <item m="1" x="3792"/>
        <item m="1" x="187"/>
        <item m="1" x="2021"/>
        <item m="1" x="2022"/>
        <item m="1" x="3791"/>
        <item m="1" x="3790"/>
        <item m="1" x="2023"/>
        <item m="1" x="3795"/>
        <item m="1" x="188"/>
        <item m="1" x="2024"/>
        <item m="1" x="3793"/>
        <item m="1" x="3794"/>
        <item m="1" x="3796"/>
        <item m="1" x="189"/>
        <item m="1" x="2025"/>
        <item m="1" x="190"/>
        <item m="1" x="2119"/>
        <item m="1" x="293"/>
        <item m="1" x="3907"/>
        <item m="1" x="3904"/>
        <item m="1" x="2120"/>
        <item m="1" x="2121"/>
        <item m="1" x="3901"/>
        <item m="1" x="292"/>
        <item m="1" x="2118"/>
        <item m="1" x="291"/>
        <item m="1" x="294"/>
        <item m="1" x="3903"/>
        <item m="1" x="295"/>
        <item m="1" x="3906"/>
        <item m="1" x="3902"/>
        <item m="1" x="3905"/>
        <item m="1" x="5547"/>
        <item m="1" x="5456"/>
        <item m="1" x="530"/>
        <item m="1" x="5603"/>
        <item m="1" x="5441"/>
        <item m="1" x="5706"/>
        <item m="1" x="140"/>
        <item m="1" x="1979"/>
        <item m="1" x="2395"/>
        <item m="1" x="5768"/>
        <item m="1" x="5448"/>
        <item m="1" x="4160"/>
        <item m="1" x="4168"/>
        <item m="1" x="5458"/>
        <item m="1" x="4147"/>
        <item m="1" x="5467"/>
        <item m="1" x="5468"/>
        <item m="1" x="5767"/>
        <item m="1" x="5443"/>
        <item m="1" x="526"/>
        <item m="1" x="4169"/>
        <item m="1" x="529"/>
        <item m="1" x="2400"/>
        <item m="1" x="534"/>
        <item m="1" x="2403"/>
        <item m="1" x="4165"/>
        <item m="1" x="2402"/>
        <item m="1" x="2397"/>
        <item m="1" x="523"/>
        <item m="1" x="4156"/>
        <item m="1" x="4171"/>
        <item m="1" x="4162"/>
        <item m="1" x="5554"/>
        <item m="1" x="5555"/>
        <item m="1" x="5556"/>
        <item m="1" x="5470"/>
        <item m="1" x="4146"/>
        <item m="1" x="532"/>
        <item m="1" x="5837"/>
        <item m="1" x="5835"/>
        <item m="1" x="5562"/>
        <item m="1" x="4504"/>
        <item m="1" x="2701"/>
        <item m="1" x="4500"/>
        <item m="1" x="4554"/>
        <item m="1" x="4502"/>
        <item m="1" x="882"/>
        <item m="1" x="875"/>
        <item m="1" x="4501"/>
        <item m="1" x="4205"/>
        <item m="1" x="562"/>
        <item m="1" x="4207"/>
        <item m="1" x="563"/>
        <item m="1" x="4206"/>
        <item m="1" x="564"/>
        <item m="1" x="4498"/>
        <item m="1" x="4499"/>
        <item m="1" x="2708"/>
        <item m="1" x="2704"/>
        <item m="1" x="879"/>
        <item m="1" x="4495"/>
        <item m="1" x="876"/>
        <item m="1" x="877"/>
        <item m="1" x="2705"/>
        <item m="1" x="4505"/>
        <item m="1" x="4520"/>
        <item m="1" x="936"/>
        <item m="1" x="874"/>
        <item m="1" x="4494"/>
        <item m="1" x="880"/>
        <item m="1" x="4537"/>
        <item m="1" x="2700"/>
        <item m="1" x="2735"/>
        <item m="1" x="947"/>
        <item m="1" x="4570"/>
        <item m="1" x="2766"/>
        <item m="1" x="4559"/>
        <item m="1" x="4558"/>
        <item m="1" x="2771"/>
        <item m="1" x="908"/>
        <item m="1" x="4564"/>
        <item m="1" x="4553"/>
        <item m="1" x="2753"/>
        <item m="1" x="4526"/>
        <item m="1" x="4527"/>
        <item m="1" x="901"/>
        <item m="1" x="4563"/>
        <item m="1" x="4530"/>
        <item m="1" x="4529"/>
        <item m="1" x="4567"/>
        <item m="1" x="2729"/>
        <item m="1" x="4528"/>
        <item m="1" x="902"/>
        <item m="1" x="2728"/>
        <item m="1" x="2727"/>
        <item m="1" x="940"/>
        <item m="1" x="2717"/>
        <item m="1" x="2718"/>
        <item m="1" x="890"/>
        <item m="1" x="891"/>
        <item m="1" x="2776"/>
        <item m="1" x="4576"/>
        <item m="1" x="952"/>
        <item m="1" x="2777"/>
        <item m="1" x="953"/>
        <item m="1" x="993"/>
        <item m="1" x="994"/>
        <item m="1" x="4611"/>
        <item m="1" x="995"/>
        <item m="1" x="2822"/>
        <item m="1" x="4618"/>
        <item m="1" x="4619"/>
        <item m="1" x="1006"/>
        <item m="1" x="1007"/>
        <item m="1" x="2829"/>
        <item m="1" x="968"/>
        <item m="1" x="969"/>
        <item m="1" x="970"/>
        <item m="1" x="2814"/>
        <item m="1" x="986"/>
        <item m="1" x="987"/>
        <item m="1" x="967"/>
        <item m="1" x="4591"/>
        <item m="1" x="4363"/>
        <item m="1" x="738"/>
        <item m="1" x="4364"/>
        <item m="1" x="739"/>
        <item m="1" x="748"/>
        <item m="1" x="750"/>
        <item m="1" x="749"/>
        <item m="1" x="751"/>
        <item m="1" x="2538"/>
        <item m="1" x="2539"/>
        <item m="1" x="2540"/>
        <item m="1" x="2541"/>
        <item m="1" x="754"/>
        <item m="1" x="4421"/>
        <item m="1" x="4422"/>
        <item m="1" x="2603"/>
        <item m="1" x="951"/>
        <item m="1" x="578"/>
        <item m="1" x="595"/>
        <item m="1" x="4212"/>
        <item m="1" x="4210"/>
        <item m="1" x="2463"/>
        <item m="1" x="792"/>
        <item m="1" x="4580"/>
        <item m="1" x="927"/>
        <item m="1" x="4622"/>
        <item m="1" x="2751"/>
        <item m="1" x="2636"/>
        <item m="1" x="2687"/>
        <item m="1" x="4483"/>
        <item m="1" x="2416"/>
        <item m="1" x="2689"/>
        <item m="1" x="4482"/>
        <item m="1" x="4379"/>
        <item m="1" x="4586"/>
        <item m="1" x="956"/>
        <item m="1" x="957"/>
        <item m="1" x="958"/>
        <item m="1" x="4578"/>
        <item m="1" x="959"/>
        <item m="1" x="2819"/>
        <item m="1" x="4607"/>
        <item m="1" x="992"/>
        <item m="1" x="2820"/>
        <item m="1" x="1003"/>
        <item m="1" x="1004"/>
        <item m="1" x="1005"/>
        <item m="1" x="2826"/>
        <item m="1" x="965"/>
        <item m="1" x="4587"/>
        <item m="1" x="966"/>
        <item m="1" x="984"/>
        <item m="1" x="2812"/>
        <item m="1" x="2813"/>
        <item m="1" x="2790"/>
        <item m="1" x="4471"/>
        <item m="1" x="868"/>
        <item m="1" x="852"/>
        <item m="1" x="4486"/>
        <item m="1" x="2408"/>
        <item m="1" x="539"/>
        <item m="1" x="2454"/>
        <item m="1" x="2537"/>
        <item m="1" x="4228"/>
        <item m="1" x="571"/>
        <item m="1" x="2439"/>
        <item m="1" x="622"/>
        <item m="1" x="2437"/>
        <item m="1" x="2458"/>
        <item m="1" x="643"/>
        <item m="1" x="2615"/>
        <item m="1" x="4400"/>
        <item m="1" x="4186"/>
        <item m="1" x="4180"/>
        <item m="1" x="681"/>
        <item m="1" x="950"/>
        <item m="1" x="838"/>
        <item m="1" x="4291"/>
        <item m="1" x="579"/>
        <item m="1" x="2438"/>
        <item m="1" x="682"/>
        <item m="1" x="2478"/>
        <item m="1" x="2502"/>
        <item m="1" x="776"/>
        <item m="1" x="4204"/>
        <item m="1" x="559"/>
        <item m="1" x="560"/>
        <item m="1" x="4394"/>
        <item m="1" x="851"/>
        <item m="1" x="2693"/>
        <item m="1" x="2690"/>
        <item m="1" x="4468"/>
        <item m="1" x="2688"/>
        <item m="1" x="683"/>
        <item m="1" x="762"/>
        <item m="1" x="2604"/>
        <item m="1" x="2795"/>
        <item m="1" x="4592"/>
        <item m="1" x="4601"/>
        <item m="1" x="4602"/>
        <item m="1" x="2793"/>
        <item m="1" x="2794"/>
        <item m="1" x="4593"/>
        <item m="1" x="2781"/>
        <item m="1" x="2782"/>
        <item m="1" x="963"/>
        <item m="1" x="2783"/>
        <item m="1" x="2784"/>
        <item m="1" x="2823"/>
        <item m="1" x="4612"/>
        <item m="1" x="996"/>
        <item m="1" x="4613"/>
        <item m="1" x="4620"/>
        <item m="1" x="2830"/>
        <item m="1" x="1008"/>
        <item m="1" x="1009"/>
        <item m="1" x="2775"/>
        <item m="1" x="4599"/>
        <item m="1" x="2457"/>
        <item m="1" x="795"/>
        <item m="1" x="4371"/>
        <item m="1" x="4370"/>
        <item m="1" x="4311"/>
        <item m="1" x="2542"/>
        <item m="1" x="2543"/>
        <item m="1" x="909"/>
        <item m="1" x="735"/>
        <item m="1" x="736"/>
        <item m="1" x="734"/>
        <item m="1" x="2589"/>
        <item m="1" x="2594"/>
        <item m="1" x="4372"/>
        <item m="1" x="688"/>
        <item m="1" x="4378"/>
        <item m="1" x="4513"/>
        <item m="1" x="897"/>
        <item m="1" x="4516"/>
        <item m="1" x="689"/>
        <item m="1" x="2430"/>
        <item m="1" x="2428"/>
        <item m="1" x="4200"/>
        <item m="1" x="556"/>
        <item m="1" x="4305"/>
        <item m="1" x="2642"/>
        <item m="1" x="786"/>
        <item m="1" x="2631"/>
        <item m="1" x="4614"/>
        <item m="1" x="757"/>
        <item m="1" x="858"/>
        <item m="1" x="2409"/>
        <item m="1" x="864"/>
        <item m="1" x="2678"/>
        <item m="1" x="4484"/>
        <item m="1" x="4184"/>
        <item m="1" x="2410"/>
        <item m="1" x="2544"/>
        <item m="1" x="4380"/>
        <item m="1" x="2420"/>
        <item m="1" x="2423"/>
        <item m="1" x="4197"/>
        <item m="1" x="4579"/>
        <item m="1" x="960"/>
        <item m="1" x="961"/>
        <item m="1" x="2780"/>
        <item m="1" x="962"/>
        <item m="1" x="2821"/>
        <item m="1" x="4608"/>
        <item m="1" x="4609"/>
        <item m="1" x="4610"/>
        <item m="1" x="2827"/>
        <item m="1" x="4616"/>
        <item m="1" x="4617"/>
        <item m="1" x="2828"/>
        <item m="1" x="980"/>
        <item m="1" x="2811"/>
        <item m="1" x="2808"/>
        <item m="1" x="983"/>
        <item m="1" x="2791"/>
        <item m="1" x="985"/>
        <item m="1" x="4588"/>
        <item m="1" x="4589"/>
        <item m="1" x="2792"/>
        <item m="1" x="4590"/>
        <item m="1" x="4381"/>
        <item m="1" x="2643"/>
        <item m="1" x="4431"/>
        <item m="1" x="2534"/>
        <item m="1" x="4308"/>
        <item m="1" x="2425"/>
        <item m="1" x="4309"/>
        <item m="1" x="2429"/>
        <item m="1" x="2640"/>
        <item m="1" x="4423"/>
        <item m="1" x="2831"/>
        <item m="1" x="4581"/>
        <item m="1" x="4550"/>
        <item m="1" x="4574"/>
        <item m="1" x="4312"/>
        <item m="1" x="4313"/>
        <item m="1" x="2545"/>
        <item m="1" x="2546"/>
        <item m="1" x="4314"/>
        <item m="1" x="2547"/>
        <item m="1" x="2548"/>
        <item m="1" x="2549"/>
        <item m="1" x="4203"/>
        <item m="1" x="2431"/>
        <item m="1" x="557"/>
        <item m="1" x="558"/>
        <item m="1" x="2432"/>
        <item m="1" x="4408"/>
        <item m="1" x="2641"/>
        <item m="1" x="793"/>
        <item m="1" x="2684"/>
        <item m="1" x="859"/>
        <item m="1" x="855"/>
        <item m="1" x="2415"/>
        <item m="1" x="4196"/>
        <item m="1" x="871"/>
        <item m="1" x="842"/>
        <item m="1" x="2691"/>
        <item m="1" x="687"/>
        <item m="1" x="2444"/>
        <item m="1" x="2741"/>
        <item m="1" x="916"/>
        <item m="1" x="917"/>
        <item m="1" x="4541"/>
        <item m="1" x="918"/>
        <item m="1" x="2742"/>
        <item m="1" x="4542"/>
        <item m="1" x="2778"/>
        <item m="1" x="954"/>
        <item m="1" x="955"/>
        <item m="1" x="2779"/>
        <item m="1" x="4577"/>
        <item m="1" x="2817"/>
        <item m="1" x="4606"/>
        <item m="1" x="2818"/>
        <item m="1" x="991"/>
        <item m="1" x="4615"/>
        <item m="1" x="2825"/>
        <item m="1" x="1001"/>
        <item m="1" x="1002"/>
        <item m="1" x="4575"/>
        <item m="1" x="2809"/>
        <item m="1" x="2789"/>
        <item m="1" x="4600"/>
        <item m="1" x="4582"/>
        <item m="1" x="4583"/>
        <item m="1" x="4584"/>
        <item m="1" x="4585"/>
        <item m="1" x="4386"/>
        <item m="1" x="685"/>
        <item m="1" x="2624"/>
        <item m="1" x="783"/>
        <item m="1" x="2676"/>
        <item m="1" x="4470"/>
        <item m="1" x="686"/>
        <item m="1" x="625"/>
        <item m="1" x="4252"/>
        <item m="1" x="624"/>
        <item m="1" x="2608"/>
        <item m="1" x="4401"/>
        <item m="1" x="4409"/>
        <item m="1" x="2810"/>
        <item m="1" x="2807"/>
        <item m="1" x="981"/>
        <item m="1" x="982"/>
        <item m="1" x="763"/>
        <item m="1" x="4359"/>
        <item m="1" x="732"/>
        <item m="1" x="690"/>
        <item m="1" x="2601"/>
        <item m="1" x="602"/>
        <item m="1" x="4382"/>
        <item m="1" x="2632"/>
        <item m="1" x="4387"/>
        <item m="1" x="544"/>
        <item m="1" x="549"/>
        <item m="1" x="545"/>
        <item m="1" x="4182"/>
        <item m="1" x="4411"/>
        <item m="1" x="839"/>
        <item m="1" x="934"/>
        <item m="1" x="943"/>
        <item m="1" x="945"/>
        <item m="1" x="4562"/>
        <item m="1" x="4315"/>
        <item m="1" x="4316"/>
        <item m="1" x="2585"/>
        <item m="1" x="2587"/>
        <item m="1" x="733"/>
        <item m="1" x="2586"/>
        <item m="1" x="2550"/>
        <item m="1" x="691"/>
        <item m="1" x="4317"/>
        <item m="1" x="692"/>
        <item m="1" x="693"/>
        <item m="1" x="4318"/>
        <item m="1" x="2551"/>
        <item m="1" x="4319"/>
        <item m="1" x="694"/>
        <item m="1" x="695"/>
        <item m="1" x="696"/>
        <item m="1" x="4320"/>
        <item m="1" x="697"/>
        <item m="1" x="4321"/>
        <item m="1" x="2602"/>
        <item m="1" x="2552"/>
        <item m="1" x="698"/>
        <item m="1" x="737"/>
        <item m="1" x="2445"/>
        <item m="1" x="4217"/>
        <item m="1" x="4213"/>
        <item m="1" x="4287"/>
        <item m="1" x="2507"/>
        <item m="1" x="647"/>
        <item m="1" x="4276"/>
        <item m="1" x="4277"/>
        <item m="1" x="654"/>
        <item m="1" x="605"/>
        <item m="1" x="2470"/>
        <item m="1" x="2497"/>
        <item m="1" x="645"/>
        <item m="1" x="636"/>
        <item m="1" x="2464"/>
        <item m="1" x="2486"/>
        <item m="1" x="646"/>
        <item m="1" x="4269"/>
        <item m="1" x="655"/>
        <item m="1" x="2465"/>
        <item m="1" x="2488"/>
        <item m="1" x="2496"/>
        <item m="1" x="4263"/>
        <item m="1" x="606"/>
        <item m="1" x="2487"/>
        <item m="1" x="653"/>
        <item m="1" x="641"/>
        <item m="1" x="4238"/>
        <item m="1" x="4278"/>
        <item m="1" x="2508"/>
        <item m="1" x="2509"/>
        <item m="1" x="2481"/>
        <item m="1" x="4239"/>
        <item m="1" x="2480"/>
        <item m="1" x="4264"/>
        <item m="1" x="629"/>
        <item m="1" x="2466"/>
        <item m="1" x="648"/>
        <item m="1" x="4272"/>
        <item m="1" x="779"/>
        <item m="1" x="2824"/>
        <item m="1" x="1011"/>
        <item m="1" x="2535"/>
        <item m="1" x="4395"/>
        <item m="1" x="2616"/>
        <item m="1" x="2433"/>
        <item m="1" x="2467"/>
        <item m="1" x="775"/>
        <item m="1" x="4286"/>
        <item m="1" x="594"/>
        <item m="1" x="4310"/>
        <item m="1" x="662"/>
        <item m="1" x="2517"/>
        <item m="1" x="2453"/>
        <item m="1" x="2449"/>
        <item m="1" x="4222"/>
        <item m="1" x="2446"/>
        <item m="1" x="4221"/>
        <item m="1" x="4218"/>
        <item m="1" x="582"/>
        <item m="1" x="4226"/>
        <item m="1" x="2520"/>
        <item m="1" x="2519"/>
        <item m="1" x="2452"/>
        <item m="1" x="4227"/>
        <item m="1" x="4289"/>
        <item m="1" x="4288"/>
        <item m="1" x="666"/>
        <item m="1" x="2515"/>
        <item m="1" x="4284"/>
        <item m="1" x="663"/>
        <item m="1" x="592"/>
        <item m="1" x="4285"/>
        <item m="1" x="4223"/>
        <item m="1" x="584"/>
        <item m="1" x="2448"/>
        <item m="1" x="583"/>
        <item m="1" x="4220"/>
        <item m="1" x="581"/>
        <item m="1" x="4219"/>
        <item m="1" x="2447"/>
        <item m="1" x="4224"/>
        <item m="1" x="585"/>
        <item m="1" x="2440"/>
        <item m="1" x="593"/>
        <item m="1" x="596"/>
        <item m="1" x="2503"/>
        <item m="1" x="634"/>
        <item m="1" x="660"/>
        <item m="1" x="644"/>
        <item m="1" x="4280"/>
        <item m="1" x="4275"/>
        <item m="1" x="2455"/>
        <item m="1" x="652"/>
        <item m="1" x="2490"/>
        <item m="1" x="2479"/>
        <item m="1" x="597"/>
        <item m="1" x="651"/>
        <item m="1" x="4281"/>
        <item m="1" x="650"/>
        <item m="1" x="4282"/>
        <item m="1" x="4229"/>
        <item m="1" x="4266"/>
        <item m="1" x="632"/>
        <item m="1" x="2491"/>
        <item m="1" x="2459"/>
        <item m="1" x="4283"/>
        <item m="1" x="2499"/>
        <item m="1" x="2511"/>
        <item m="1" x="2512"/>
        <item m="1" x="598"/>
        <item m="1" x="2495"/>
        <item m="1" x="2492"/>
        <item m="1" x="4271"/>
        <item m="1" x="4233"/>
        <item m="1" x="4260"/>
        <item m="1" x="2493"/>
        <item m="1" x="2483"/>
        <item m="1" x="4234"/>
        <item m="1" x="2500"/>
        <item m="1" x="2504"/>
        <item m="1" x="635"/>
        <item m="1" x="2513"/>
        <item m="1" x="2460"/>
        <item m="1" x="637"/>
        <item m="1" x="4267"/>
        <item m="1" x="2494"/>
        <item m="1" x="599"/>
        <item m="1" x="4388"/>
        <item m="1" x="4389"/>
        <item m="1" x="4195"/>
        <item m="1" x="2680"/>
        <item m="1" x="2692"/>
        <item m="1" x="2609"/>
        <item m="1" x="4467"/>
        <item m="1" x="764"/>
        <item m="1" x="758"/>
        <item m="1" x="4211"/>
        <item m="1" x="633"/>
        <item m="1" x="789"/>
        <item m="1" x="2773"/>
        <item m="1" x="853"/>
        <item m="1" x="869"/>
        <item m="1" x="587"/>
        <item m="1" x="2450"/>
        <item m="1" x="588"/>
        <item m="1" x="586"/>
        <item m="1" x="677"/>
        <item m="1" x="572"/>
        <item m="1" x="669"/>
        <item m="1" x="2514"/>
        <item m="1" x="573"/>
        <item m="1" x="2505"/>
        <item m="1" x="4273"/>
        <item m="1" x="4230"/>
        <item m="1" x="4279"/>
        <item m="1" x="642"/>
        <item m="1" x="657"/>
        <item m="1" x="4231"/>
        <item m="1" x="658"/>
        <item m="1" x="4270"/>
        <item m="1" x="2489"/>
        <item m="1" x="649"/>
        <item m="1" x="2456"/>
        <item m="1" x="2482"/>
        <item m="1" x="4274"/>
        <item m="1" x="4268"/>
        <item m="1" x="4232"/>
        <item m="1" x="631"/>
        <item m="1" x="659"/>
        <item m="1" x="2506"/>
        <item m="1" x="4480"/>
        <item m="1" x="4490"/>
        <item m="1" x="847"/>
        <item m="1" x="4485"/>
        <item m="1" x="4464"/>
        <item m="1" x="4251"/>
        <item m="1" x="4245"/>
        <item m="1" x="616"/>
        <item m="1" x="612"/>
        <item m="1" x="4246"/>
        <item m="1" x="4253"/>
        <item m="1" x="621"/>
        <item m="1" x="608"/>
        <item m="1" x="2473"/>
        <item m="1" x="609"/>
        <item m="1" x="613"/>
        <item m="1" x="617"/>
        <item m="1" x="610"/>
        <item m="1" x="614"/>
        <item m="1" x="2469"/>
        <item m="1" x="4241"/>
        <item m="1" x="603"/>
        <item m="1" x="4247"/>
        <item m="1" x="4242"/>
        <item m="1" x="4248"/>
        <item m="1" x="615"/>
        <item m="1" x="618"/>
        <item m="1" x="4244"/>
        <item m="1" x="4254"/>
        <item m="1" x="2474"/>
        <item m="1" x="4243"/>
        <item m="1" x="4237"/>
        <item m="1" x="2468"/>
        <item m="1" x="611"/>
        <item m="1" x="604"/>
        <item m="1" x="620"/>
        <item m="1" x="2472"/>
        <item m="1" x="2471"/>
        <item m="1" x="4250"/>
        <item m="1" x="2462"/>
        <item m="1" x="765"/>
        <item m="1" x="4189"/>
        <item m="1" x="887"/>
        <item m="1" x="4360"/>
        <item m="1" x="4322"/>
        <item m="1" x="4323"/>
        <item m="1" x="755"/>
        <item m="1" x="2588"/>
        <item m="1" x="4361"/>
        <item m="1" x="4362"/>
        <item m="1" x="699"/>
        <item m="1" x="4324"/>
        <item m="1" x="4325"/>
        <item m="1" x="2553"/>
        <item m="1" x="2554"/>
        <item m="1" x="700"/>
        <item m="1" x="701"/>
        <item m="1" x="2555"/>
        <item m="1" x="4326"/>
        <item m="1" x="2619"/>
        <item m="1" x="863"/>
        <item m="1" x="547"/>
        <item m="1" x="551"/>
        <item m="1" x="4418"/>
        <item m="1" x="4185"/>
        <item m="1" x="4179"/>
        <item m="1" x="2677"/>
        <item m="1" x="4426"/>
        <item m="1" x="4428"/>
        <item m="1" x="796"/>
        <item m="1" x="4390"/>
        <item m="1" x="2685"/>
        <item m="1" x="4511"/>
        <item m="1" x="2556"/>
        <item m="1" x="2557"/>
        <item m="1" x="2558"/>
        <item m="1" x="702"/>
        <item m="1" x="2559"/>
        <item m="1" x="703"/>
        <item m="1" x="4402"/>
        <item m="1" x="2610"/>
        <item m="1" x="679"/>
        <item m="1" x="766"/>
        <item m="1" x="2762"/>
        <item m="1" x="4434"/>
        <item m="1" x="553"/>
        <item m="1" x="2522"/>
        <item m="1" x="4295"/>
        <item m="1" x="2532"/>
        <item m="1" x="2617"/>
        <item m="1" x="2613"/>
        <item m="1" x="548"/>
        <item m="1" x="4474"/>
        <item m="1" x="2695"/>
        <item m="1" x="840"/>
        <item m="1" x="854"/>
        <item m="1" x="4487"/>
        <item m="1" x="2681"/>
        <item m="1" x="2694"/>
        <item m="1" x="590"/>
        <item m="1" x="670"/>
        <item m="1" x="591"/>
        <item m="1" x="570"/>
        <item m="1" x="2485"/>
        <item m="1" x="4255"/>
        <item m="1" x="4235"/>
        <item m="1" x="623"/>
        <item m="1" x="4257"/>
        <item m="1" x="639"/>
        <item m="1" x="4258"/>
        <item m="1" x="2475"/>
        <item m="1" x="4262"/>
        <item m="1" x="2461"/>
        <item m="1" x="4396"/>
        <item m="1" x="2752"/>
        <item m="1" x="704"/>
        <item m="1" x="705"/>
        <item m="1" x="2560"/>
        <item m="1" x="4327"/>
        <item m="1" x="2561"/>
        <item m="1" x="919"/>
        <item m="1" x="2745"/>
        <item m="1" x="2746"/>
        <item m="1" x="920"/>
        <item m="1" x="921"/>
        <item m="1" x="2747"/>
        <item m="1" x="4544"/>
        <item m="1" x="2748"/>
        <item m="1" x="4545"/>
        <item m="1" x="4546"/>
        <item m="1" x="4328"/>
        <item m="1" x="922"/>
        <item m="1" x="2562"/>
        <item m="1" x="2563"/>
        <item m="1" x="2564"/>
        <item m="1" x="4329"/>
        <item m="1" x="2743"/>
        <item m="1" x="4543"/>
        <item m="1" x="2744"/>
        <item m="1" x="706"/>
        <item m="1" x="707"/>
        <item m="1" x="2565"/>
        <item m="1" x="708"/>
        <item m="1" x="2566"/>
        <item m="1" x="709"/>
        <item m="1" x="4330"/>
        <item m="1" x="710"/>
        <item m="1" x="4331"/>
        <item m="1" x="745"/>
        <item m="1" x="2567"/>
        <item m="1" x="2568"/>
        <item m="1" x="4551"/>
        <item m="1" x="2625"/>
        <item m="1" x="915"/>
        <item m="1" x="569"/>
        <item m="1" x="4209"/>
        <item m="1" x="678"/>
        <item m="1" x="2531"/>
        <item m="1" x="2529"/>
        <item m="1" x="2521"/>
        <item m="1" x="4403"/>
        <item m="1" x="4397"/>
        <item m="1" x="4398"/>
        <item m="1" x="930"/>
        <item m="1" x="964"/>
        <item m="1" x="928"/>
        <item m="1" x="2737"/>
        <item m="1" x="2451"/>
        <item m="1" x="4225"/>
        <item m="1" x="2436"/>
        <item m="1" x="4201"/>
        <item m="1" x="673"/>
        <item m="1" x="668"/>
        <item m="1" x="2434"/>
        <item m="1" x="2424"/>
        <item m="1" x="4419"/>
        <item m="1" x="4420"/>
        <item m="1" x="664"/>
        <item m="1" x="2518"/>
        <item m="1" x="665"/>
        <item m="1" x="4293"/>
        <item m="1" x="2516"/>
        <item m="1" x="667"/>
        <item m="1" x="4292"/>
        <item m="1" x="911"/>
        <item m="1" x="777"/>
        <item m="1" x="4404"/>
        <item m="1" x="4552"/>
        <item m="1" x="4557"/>
        <item m="1" x="4472"/>
        <item m="1" x="2696"/>
        <item m="1" x="4294"/>
        <item m="1" x="4202"/>
        <item m="1" x="2774"/>
        <item m="1" x="4478"/>
        <item m="1" x="872"/>
        <item m="1" x="4473"/>
        <item m="1" x="4488"/>
        <item m="1" x="661"/>
        <item m="1" x="600"/>
        <item m="1" x="2477"/>
        <item m="1" x="4236"/>
        <item m="1" x="4261"/>
        <item m="1" x="640"/>
        <item m="1" x="628"/>
        <item m="1" x="4412"/>
        <item m="1" x="933"/>
        <item m="1" x="2600"/>
        <item m="1" x="2599"/>
        <item m="1" x="711"/>
        <item m="1" x="924"/>
        <item m="1" x="925"/>
        <item m="1" x="2749"/>
        <item m="1" x="2750"/>
        <item m="1" x="712"/>
        <item m="1" x="713"/>
        <item m="1" x="4332"/>
        <item m="1" x="714"/>
        <item m="1" x="4333"/>
        <item m="1" x="4547"/>
        <item m="1" x="923"/>
        <item m="1" x="4548"/>
        <item m="1" x="715"/>
        <item m="1" x="4366"/>
        <item m="1" x="2569"/>
        <item m="1" x="4334"/>
        <item m="1" x="4335"/>
        <item m="1" x="2570"/>
        <item m="1" x="4432"/>
        <item m="1" x="4549"/>
        <item m="1" x="2571"/>
        <item m="1" x="2572"/>
        <item m="1" x="2720"/>
        <item m="1" x="2722"/>
        <item m="1" x="895"/>
        <item m="1" x="4515"/>
        <item m="1" x="4405"/>
        <item m="1" x="974"/>
        <item m="1" x="988"/>
        <item m="1" x="4598"/>
        <item m="1" x="977"/>
        <item m="1" x="978"/>
        <item m="1" x="979"/>
        <item m="1" x="2806"/>
        <item m="1" x="2801"/>
        <item m="1" x="2815"/>
        <item m="1" x="2802"/>
        <item m="1" x="2816"/>
        <item m="1" x="4597"/>
        <item m="1" x="4603"/>
        <item m="1" x="2803"/>
        <item m="1" x="989"/>
        <item m="1" x="2804"/>
        <item m="1" x="4604"/>
        <item m="1" x="2805"/>
        <item m="1" x="990"/>
        <item m="1" x="975"/>
        <item m="1" x="4605"/>
        <item m="1" x="976"/>
        <item m="1" x="2772"/>
        <item m="1" x="565"/>
        <item m="1" x="566"/>
        <item m="1" x="784"/>
        <item m="1" x="2523"/>
        <item m="1" x="684"/>
        <item m="1" x="2530"/>
        <item m="1" x="4306"/>
        <item m="1" x="2785"/>
        <item m="1" x="931"/>
        <item m="1" x="932"/>
        <item m="1" x="997"/>
        <item m="1" x="1010"/>
        <item m="1" x="4296"/>
        <item m="1" x="672"/>
        <item m="1" x="576"/>
        <item m="1" x="4297"/>
        <item m="1" x="680"/>
        <item m="1" x="671"/>
        <item m="1" x="4208"/>
        <item m="1" x="567"/>
        <item m="1" x="4290"/>
        <item m="1" x="568"/>
        <item m="1" x="2740"/>
        <item m="1" x="2626"/>
        <item m="1" x="4410"/>
        <item m="1" x="4556"/>
        <item m="1" x="2698"/>
        <item m="1" x="546"/>
        <item m="1" x="4193"/>
        <item m="1" x="4479"/>
        <item m="1" x="873"/>
        <item m="1" x="856"/>
        <item m="1" x="4491"/>
        <item m="1" x="4304"/>
        <item m="1" x="601"/>
        <item m="1" x="626"/>
        <item m="1" x="627"/>
        <item m="1" x="2484"/>
        <item m="1" x="2476"/>
        <item m="1" x="619"/>
        <item m="1" x="4256"/>
        <item m="1" x="638"/>
        <item m="1" x="2739"/>
        <item m="1" x="2620"/>
        <item m="1" x="2573"/>
        <item m="1" x="4336"/>
        <item m="1" x="716"/>
        <item m="1" x="717"/>
        <item m="1" x="2574"/>
        <item m="1" x="4337"/>
        <item m="1" x="4338"/>
        <item m="1" x="718"/>
        <item m="1" x="4339"/>
        <item m="1" x="719"/>
        <item m="1" x="2575"/>
        <item m="1" x="4340"/>
        <item m="1" x="4341"/>
        <item m="1" x="720"/>
        <item m="1" x="2576"/>
        <item m="1" x="4342"/>
        <item m="1" x="4365"/>
        <item m="1" x="740"/>
        <item m="1" x="914"/>
        <item m="1" x="2435"/>
        <item m="1" x="767"/>
        <item m="1" x="4555"/>
        <item m="1" x="589"/>
        <item m="1" x="2637"/>
        <item m="1" x="2638"/>
        <item m="1" x="4413"/>
        <item m="1" x="2635"/>
        <item m="1" x="4391"/>
        <item m="1" x="4303"/>
        <item m="1" x="4302"/>
        <item m="1" x="675"/>
        <item m="1" x="676"/>
        <item m="1" x="2528"/>
        <item m="1" x="674"/>
        <item m="1" x="2527"/>
        <item m="1" x="2526"/>
        <item m="1" x="2524"/>
        <item m="1" x="2525"/>
        <item m="1" x="4301"/>
        <item m="1" x="2536"/>
        <item m="1" x="4216"/>
        <item m="1" x="4299"/>
        <item m="1" x="4298"/>
        <item m="1" x="4300"/>
        <item m="1" x="4399"/>
        <item m="1" x="2614"/>
        <item m="1" x="2757"/>
        <item m="1" x="2533"/>
        <item m="1" x="4307"/>
        <item m="1" x="4392"/>
        <item m="1" x="846"/>
        <item m="1" x="849"/>
        <item m="1" x="848"/>
        <item m="1" x="4469"/>
        <item m="1" x="768"/>
        <item m="1" x="4560"/>
        <item m="1" x="944"/>
        <item m="1" x="4561"/>
        <item m="1" x="2577"/>
        <item m="1" x="4343"/>
        <item m="1" x="4344"/>
        <item m="1" x="747"/>
        <item m="1" x="2595"/>
        <item m="1" x="746"/>
        <item m="1" x="4373"/>
        <item m="1" x="4345"/>
        <item m="1" x="721"/>
        <item m="1" x="4346"/>
        <item m="1" x="722"/>
        <item m="1" x="4347"/>
        <item m="1" x="893"/>
        <item m="1" x="896"/>
        <item m="1" x="4377"/>
        <item m="1" x="2633"/>
        <item m="1" x="2441"/>
        <item m="1" x="4214"/>
        <item m="1" x="2442"/>
        <item m="1" x="2443"/>
        <item m="1" x="4215"/>
        <item m="1" x="574"/>
        <item m="1" x="575"/>
        <item m="1" x="2498"/>
        <item m="1" x="2501"/>
        <item m="1" x="4240"/>
        <item m="1" x="4265"/>
        <item m="1" x="4249"/>
        <item m="1" x="656"/>
        <item m="1" x="630"/>
        <item m="1" x="607"/>
        <item m="1" x="4259"/>
        <item m="1" x="2510"/>
        <item m="1" x="4393"/>
        <item m="1" x="2427"/>
        <item m="1" x="2426"/>
        <item m="1" x="4199"/>
        <item m="1" x="4416"/>
        <item m="1" x="770"/>
        <item m="1" x="999"/>
        <item m="1" x="2605"/>
        <item m="1" x="580"/>
        <item m="1" x="843"/>
        <item m="1" x="845"/>
        <item m="1" x="865"/>
        <item m="1" x="4187"/>
        <item m="1" x="2412"/>
        <item m="1" x="4198"/>
        <item m="1" x="2413"/>
        <item m="1" x="4191"/>
        <item m="1" x="769"/>
        <item m="1" x="4417"/>
        <item m="1" x="4429"/>
        <item m="1" x="723"/>
        <item m="1" x="2578"/>
        <item m="1" x="2719"/>
        <item m="1" x="2721"/>
        <item m="1" x="4514"/>
        <item m="1" x="894"/>
        <item m="1" x="2579"/>
        <item m="1" x="724"/>
        <item m="1" x="756"/>
        <item m="1" x="2738"/>
        <item m="1" x="771"/>
        <item m="1" x="2758"/>
        <item m="1" x="938"/>
        <item m="1" x="4538"/>
        <item m="1" x="2634"/>
        <item m="1" x="4539"/>
        <item m="1" x="2787"/>
        <item m="1" x="2832"/>
        <item m="1" x="2716"/>
        <item m="1" x="2711"/>
        <item m="1" x="4194"/>
        <item m="1" x="844"/>
        <item m="1" x="867"/>
        <item m="1" x="2421"/>
        <item m="1" x="577"/>
        <item m="1" x="2736"/>
        <item m="1" x="2611"/>
        <item m="1" x="4430"/>
        <item m="1" x="725"/>
        <item m="1" x="726"/>
        <item m="1" x="926"/>
        <item m="1" x="4348"/>
        <item m="1" x="4349"/>
        <item m="1" x="727"/>
        <item m="1" x="2580"/>
        <item m="1" x="4350"/>
        <item m="1" x="728"/>
        <item m="1" x="4351"/>
        <item m="1" x="729"/>
        <item m="1" x="2581"/>
        <item m="1" x="730"/>
        <item m="1" x="4481"/>
        <item m="1" x="2683"/>
        <item m="1" x="2414"/>
        <item m="1" x="550"/>
        <item m="1" x="552"/>
        <item m="1" x="787"/>
        <item m="1" x="2621"/>
        <item m="1" x="4414"/>
        <item m="1" x="788"/>
        <item m="1" x="785"/>
        <item m="1" x="780"/>
        <item m="1" x="2622"/>
        <item m="1" x="2682"/>
        <item m="1" x="2411"/>
        <item m="1" x="4352"/>
        <item m="1" x="797"/>
        <item m="1" x="4427"/>
        <item m="1" x="862"/>
        <item m="1" x="2597"/>
        <item m="1" x="752"/>
        <item m="1" x="753"/>
        <item m="1" x="4433"/>
        <item m="1" x="540"/>
        <item m="1" x="2582"/>
        <item m="1" x="2583"/>
        <item m="1" x="4353"/>
        <item m="1" x="4512"/>
        <item m="1" x="4507"/>
        <item m="1" x="2627"/>
        <item m="1" x="2630"/>
        <item m="1" x="2628"/>
        <item m="1" x="2629"/>
        <item m="1" x="4477"/>
        <item m="1" x="4181"/>
        <item m="1" x="2686"/>
        <item m="1" x="4493"/>
        <item m="1" x="4465"/>
        <item m="1" x="4383"/>
        <item m="1" x="731"/>
        <item m="1" x="742"/>
        <item m="1" x="2590"/>
        <item m="1" x="741"/>
        <item m="1" x="2584"/>
        <item m="1" x="4354"/>
        <item m="1" x="743"/>
        <item m="1" x="2593"/>
        <item m="1" x="4367"/>
        <item m="1" x="4535"/>
        <item m="1" x="4368"/>
        <item m="1" x="744"/>
        <item m="1" x="2591"/>
        <item m="1" x="4369"/>
        <item m="1" x="2592"/>
        <item m="1" x="4355"/>
        <item m="1" x="555"/>
        <item m="1" x="554"/>
        <item m="1" x="912"/>
        <item m="1" x="772"/>
        <item m="1" x="759"/>
        <item m="1" x="4540"/>
        <item m="1" x="4384"/>
        <item m="1" x="4385"/>
        <item m="1" x="2756"/>
        <item m="1" x="2786"/>
        <item m="1" x="929"/>
        <item m="1" x="4621"/>
        <item m="1" x="4508"/>
        <item m="1" x="841"/>
        <item m="1" x="543"/>
        <item m="1" x="4190"/>
        <item m="1" x="2422"/>
        <item m="1" x="4188"/>
        <item m="1" x="4183"/>
        <item m="1" x="2675"/>
        <item m="1" x="913"/>
        <item m="1" x="2606"/>
        <item m="1" x="1000"/>
        <item m="1" x="2713"/>
        <item m="1" x="2639"/>
        <item m="1" x="2679"/>
        <item m="1" x="866"/>
        <item m="1" x="4466"/>
        <item m="1" x="541"/>
        <item m="1" x="760"/>
        <item m="1" x="4573"/>
        <item m="1" x="2612"/>
        <item m="1" x="2607"/>
        <item m="1" x="888"/>
        <item m="1" x="773"/>
        <item m="1" x="885"/>
        <item m="1" x="4415"/>
        <item m="1" x="4356"/>
        <item m="1" x="4357"/>
        <item m="1" x="4192"/>
        <item m="1" x="761"/>
        <item m="1" x="2714"/>
        <item m="1" x="790"/>
        <item m="1" x="2623"/>
        <item m="1" x="791"/>
        <item m="1" x="781"/>
        <item m="1" x="4358"/>
        <item m="1" x="542"/>
        <item m="1" x="2788"/>
        <item m="1" x="2710"/>
        <item m="1" x="782"/>
        <item m="1" x="774"/>
        <item m="1" x="2715"/>
        <item m="1" x="857"/>
        <item m="1" x="4492"/>
        <item m="1" x="4374"/>
        <item m="1" x="2596"/>
        <item m="1" x="4376"/>
        <item m="1" x="4375"/>
        <item m="1" x="778"/>
        <item m="1" x="2618"/>
        <item m="1" x="4407"/>
        <item m="1" x="4406"/>
        <item m="1" x="4475"/>
        <item m="1" x="870"/>
        <item m="1" x="998"/>
        <item m="1" x="2417"/>
        <item m="1" x="850"/>
        <item m="1" x="2697"/>
        <item m="1" x="2418"/>
        <item m="1" x="4476"/>
        <item m="1" x="4489"/>
        <item m="1" x="2419"/>
        <item m="1" x="892"/>
        <item m="1" x="4424"/>
        <item m="1" x="794"/>
        <item m="1" x="4425"/>
        <item m="1" x="861"/>
        <item m="1" x="860"/>
        <item m="1" x="2712"/>
        <item m="1" x="2761"/>
        <item m="1" x="4510"/>
        <item m="1" x="2598"/>
        <item m="1" x="886"/>
        <item m="1" x="4509"/>
        <item m="1" x="2763"/>
        <item m="1" x="889"/>
        <item m="1" x="2702"/>
        <item m="1" x="878"/>
        <item m="1" x="2703"/>
        <item m="1" x="883"/>
        <item m="1" x="884"/>
        <item m="1" x="2709"/>
        <item m="1" x="942"/>
        <item m="1" x="948"/>
        <item m="1" x="2769"/>
        <item m="1" x="2767"/>
        <item m="1" x="5840"/>
        <item m="1" x="937"/>
        <item m="1" x="4571"/>
        <item m="1" x="2730"/>
        <item m="1" x="4565"/>
        <item m="1" x="4517"/>
        <item m="1" x="939"/>
        <item m="1" x="903"/>
        <item m="1" x="906"/>
        <item m="1" x="2731"/>
        <item m="1" x="2764"/>
        <item m="1" x="4533"/>
        <item m="1" x="2733"/>
        <item m="1" x="4568"/>
        <item m="1" x="2732"/>
        <item m="1" x="4532"/>
        <item m="1" x="905"/>
        <item m="1" x="904"/>
        <item m="1" x="561"/>
        <item m="1" x="4531"/>
        <item m="1" x="881"/>
        <item m="1" x="2706"/>
        <item m="1" x="2734"/>
        <item m="1" x="4534"/>
        <item m="1" x="2699"/>
        <item m="1" x="910"/>
        <item m="1" x="2707"/>
        <item m="1" x="4496"/>
        <item m="1" x="4178"/>
        <item m="1" x="4521"/>
        <item m="1" x="1015"/>
        <item m="1" x="2759"/>
        <item m="1" x="4569"/>
        <item m="1" x="2770"/>
        <item m="1" x="2768"/>
        <item m="1" x="5839"/>
        <item m="1" x="941"/>
        <item m="1" x="949"/>
        <item m="1" x="907"/>
        <item m="1" x="4566"/>
        <item m="1" x="898"/>
        <item m="1" x="4536"/>
        <item m="1" x="899"/>
        <item m="1" x="4522"/>
        <item m="1" x="2723"/>
        <item m="1" x="946"/>
        <item m="1" x="4525"/>
        <item m="1" x="4524"/>
        <item m="1" x="2765"/>
        <item m="1" x="2726"/>
        <item m="1" x="4523"/>
        <item m="1" x="2725"/>
        <item m="1" x="900"/>
        <item m="1" x="2754"/>
        <item m="1" x="2724"/>
        <item m="1" x="935"/>
        <item m="1" x="4503"/>
        <item m="1" x="4506"/>
        <item m="1" x="4497"/>
        <item m="1" x="837"/>
        <item m="1" x="4463"/>
        <item m="1" x="4462"/>
        <item m="1" x="836"/>
        <item m="1" x="2755"/>
        <item m="1" x="1013"/>
        <item m="1" x="1014"/>
        <item m="1" x="1012"/>
        <item m="1" x="4623"/>
        <item m="1" x="2760"/>
        <item m="1" x="2833"/>
        <item m="1" x="2843"/>
        <item m="1" x="2844"/>
        <item m="1" x="4626"/>
        <item m="1" x="4627"/>
        <item m="1" x="4625"/>
        <item m="1" x="2836"/>
        <item m="1" x="1016"/>
        <item m="1" x="2842"/>
        <item m="1" x="2838"/>
        <item m="1" x="1018"/>
        <item m="1" x="1023"/>
        <item m="1" x="4630"/>
        <item m="1" x="4629"/>
        <item m="1" x="1022"/>
        <item m="1" x="2840"/>
        <item m="1" x="4633"/>
        <item m="1" x="2837"/>
        <item m="1" x="2841"/>
        <item m="1" x="1021"/>
        <item m="1" x="4632"/>
        <item m="1" x="1020"/>
        <item m="1" x="1019"/>
        <item m="1" x="4631"/>
        <item m="1" x="2839"/>
        <item m="1" x="4628"/>
        <item m="1" x="1017"/>
        <item m="1" x="5434"/>
        <item m="1" x="2834"/>
        <item m="1" x="2394"/>
        <item m="1" x="5494"/>
        <item m="1" x="4166"/>
        <item m="1" x="4624"/>
        <item m="1" x="5462"/>
        <item m="1" x="2835"/>
        <item m="1" x="4519"/>
        <item m="1" x="4518"/>
        <item m="1" x="5457"/>
        <item m="1" x="531"/>
        <item m="1" x="5557"/>
        <item m="1" x="5601"/>
        <item m="1" x="5498"/>
        <item m="1" x="4163"/>
        <item m="1" x="528"/>
        <item m="1" x="5510"/>
        <item m="1" x="5490"/>
        <item m="1" x="5528"/>
        <item m="1" x="2401"/>
        <item m="1" x="303"/>
        <item m="1" x="2145"/>
        <item m="1" x="3950"/>
        <item m="1" x="2138"/>
        <item m="1" x="2140"/>
        <item m="1" x="3941"/>
        <item m="1" x="3917"/>
        <item m="1" x="2143"/>
        <item m="1" x="3918"/>
        <item m="1" x="3919"/>
        <item m="1" x="2160"/>
        <item m="1" x="311"/>
        <item m="1" x="323"/>
        <item m="1" x="2130"/>
        <item m="1" x="2147"/>
        <item m="1" x="2153"/>
        <item m="1" x="2139"/>
        <item m="1" x="2131"/>
        <item m="1" x="2142"/>
        <item m="1" x="3936"/>
        <item m="1" x="2151"/>
        <item m="1" x="2150"/>
        <item m="1" x="2132"/>
        <item m="1" x="312"/>
        <item m="1" x="2300"/>
        <item m="1" x="2144"/>
        <item m="1" x="2161"/>
        <item m="1" x="409"/>
        <item m="1" x="455"/>
        <item m="1" x="2307"/>
        <item m="1" x="2316"/>
        <item m="1" x="467"/>
        <item m="1" x="2302"/>
        <item m="1" x="2304"/>
        <item m="1" x="4082"/>
        <item m="1" x="2313"/>
        <item m="1" x="451"/>
        <item m="1" x="4091"/>
        <item m="1" x="2322"/>
        <item m="1" x="463"/>
        <item m="1" x="461"/>
        <item m="1" x="457"/>
        <item m="1" x="2246"/>
        <item m="1" x="2310"/>
        <item m="1" x="4086"/>
        <item m="1" x="2320"/>
        <item m="1" x="2299"/>
        <item m="1" x="4089"/>
        <item m="1" x="469"/>
        <item m="1" x="450"/>
        <item m="1" x="4094"/>
        <item m="1" x="471"/>
        <item m="1" x="2133"/>
        <item m="1" x="2141"/>
        <item m="1" x="2188"/>
        <item m="1" x="4137"/>
        <item m="1" x="3942"/>
        <item m="1" x="2162"/>
        <item m="1" x="3920"/>
        <item m="1" x="2146"/>
        <item m="1" x="3921"/>
        <item m="1" x="2367"/>
        <item m="1" x="2148"/>
        <item m="1" x="2134"/>
        <item m="1" x="3922"/>
        <item m="1" x="3926"/>
        <item m="1" x="2163"/>
        <item m="1" x="3943"/>
        <item m="1" x="3923"/>
        <item m="1" x="443"/>
        <item m="1" x="3930"/>
        <item m="1" x="2135"/>
        <item m="1" x="304"/>
        <item m="1" x="3931"/>
        <item m="1" x="501"/>
        <item m="1" x="4135"/>
        <item m="1" x="305"/>
        <item m="1" x="3932"/>
        <item m="1" x="3952"/>
        <item m="1" x="445"/>
        <item m="1" x="402"/>
        <item m="1" x="2291"/>
        <item m="1" x="2287"/>
        <item m="1" x="2178"/>
        <item m="1" x="3978"/>
        <item m="1" x="2189"/>
        <item m="1" x="3979"/>
        <item m="1" x="352"/>
        <item m="1" x="353"/>
        <item m="1" x="3934"/>
        <item m="1" x="324"/>
        <item m="1" x="3928"/>
        <item m="1" x="502"/>
        <item m="1" x="2127"/>
        <item m="1" x="322"/>
        <item m="1" x="313"/>
        <item m="1" x="306"/>
        <item m="1" x="3951"/>
        <item m="1" x="319"/>
        <item m="1" x="307"/>
        <item m="1" x="2149"/>
        <item m="1" x="3940"/>
        <item m="1" x="2247"/>
        <item m="1" x="4079"/>
        <item m="1" x="460"/>
        <item m="1" x="468"/>
        <item m="1" x="364"/>
        <item m="1" x="4087"/>
        <item m="1" x="4081"/>
        <item m="1" x="2305"/>
        <item m="1" x="2306"/>
        <item m="1" x="3997"/>
        <item m="1" x="466"/>
        <item m="1" x="4076"/>
        <item m="1" x="4092"/>
        <item m="1" x="2323"/>
        <item m="1" x="3980"/>
        <item m="1" x="464"/>
        <item m="1" x="2308"/>
        <item m="1" x="458"/>
        <item m="1" x="410"/>
        <item m="1" x="4085"/>
        <item m="1" x="2312"/>
        <item m="1" x="470"/>
        <item m="1" x="454"/>
        <item m="1" x="2319"/>
        <item m="1" x="2318"/>
        <item m="1" x="2301"/>
        <item m="1" x="4095"/>
        <item m="1" x="2325"/>
        <item m="1" x="354"/>
        <item m="1" x="3933"/>
        <item m="1" x="3935"/>
        <item m="1" x="4136"/>
        <item m="1" x="2136"/>
        <item m="1" x="2155"/>
        <item m="1" x="3977"/>
        <item m="1" x="314"/>
        <item m="1" x="315"/>
        <item m="1" x="316"/>
        <item m="1" x="3927"/>
        <item m="1" x="4064"/>
        <item m="1" x="3938"/>
        <item m="1" x="3924"/>
        <item m="1" x="3929"/>
        <item m="1" x="351"/>
        <item m="1" x="2290"/>
        <item m="1" x="2238"/>
        <item m="1" x="3949"/>
        <item m="1" x="2159"/>
        <item m="1" x="4067"/>
        <item m="1" x="2237"/>
        <item m="1" x="2152"/>
        <item m="1" x="308"/>
        <item m="1" x="3937"/>
        <item m="1" x="317"/>
        <item m="1" x="2137"/>
        <item m="1" x="2284"/>
        <item m="1" x="2370"/>
        <item m="1" x="2245"/>
        <item m="1" x="4080"/>
        <item m="1" x="4084"/>
        <item m="1" x="2317"/>
        <item m="1" x="2315"/>
        <item m="1" x="2303"/>
        <item m="1" x="456"/>
        <item m="1" x="4083"/>
        <item m="1" x="3998"/>
        <item m="1" x="2314"/>
        <item m="1" x="2295"/>
        <item m="1" x="4093"/>
        <item m="1" x="2324"/>
        <item m="1" x="3981"/>
        <item m="1" x="2309"/>
        <item m="1" x="462"/>
        <item m="1" x="459"/>
        <item m="1" x="2244"/>
        <item m="1" x="2311"/>
        <item m="1" x="465"/>
        <item m="1" x="2321"/>
        <item m="1" x="453"/>
        <item m="1" x="4090"/>
        <item m="1" x="4088"/>
        <item m="1" x="2294"/>
        <item m="1" x="2327"/>
        <item m="1" x="2326"/>
        <item m="1" x="2366"/>
        <item m="1" x="318"/>
        <item m="1" x="3939"/>
        <item m="1" x="2154"/>
        <item m="1" x="340"/>
        <item m="1" x="365"/>
        <item m="1" x="3993"/>
        <item m="1" x="357"/>
        <item m="1" x="358"/>
        <item m="1" x="2191"/>
        <item m="1" x="3983"/>
        <item m="1" x="3965"/>
        <item m="1" x="2179"/>
        <item m="1" x="343"/>
        <item m="1" x="344"/>
        <item m="1" x="2197"/>
        <item m="1" x="2201"/>
        <item m="1" x="3967"/>
        <item m="1" x="345"/>
        <item m="1" x="346"/>
        <item m="1" x="3966"/>
        <item m="1" x="332"/>
        <item m="1" x="2379"/>
        <item m="1" x="2194"/>
        <item m="1" x="363"/>
        <item m="1" x="333"/>
        <item m="1" x="513"/>
        <item m="1" x="4068"/>
        <item m="1" x="2195"/>
        <item m="1" x="2196"/>
        <item m="1" x="3990"/>
        <item m="1" x="2180"/>
        <item m="1" x="2181"/>
        <item m="1" x="2182"/>
        <item m="1" x="2183"/>
        <item m="1" x="4065"/>
        <item m="1" x="2286"/>
        <item m="1" x="361"/>
        <item m="1" x="3986"/>
        <item m="1" x="3987"/>
        <item m="1" x="3988"/>
        <item m="1" x="2184"/>
        <item m="1" x="3968"/>
        <item m="1" x="347"/>
        <item m="1" x="337"/>
        <item m="1" x="378"/>
        <item m="1" x="379"/>
        <item m="1" x="3969"/>
        <item m="1" x="3970"/>
        <item m="1" x="3971"/>
        <item m="1" x="3972"/>
        <item m="1" x="3962"/>
        <item m="1" x="355"/>
        <item m="1" x="2190"/>
        <item m="1" x="356"/>
        <item m="1" x="3982"/>
        <item m="1" x="335"/>
        <item m="1" x="2377"/>
        <item m="1" x="3995"/>
        <item m="1" x="3989"/>
        <item m="1" x="362"/>
        <item m="1" x="2193"/>
        <item m="1" x="2225"/>
        <item m="1" x="338"/>
        <item m="1" x="3992"/>
        <item m="1" x="367"/>
        <item m="1" x="3960"/>
        <item m="1" x="4144"/>
        <item m="1" x="2200"/>
        <item m="1" x="3961"/>
        <item m="1" x="511"/>
        <item m="1" x="2223"/>
        <item m="1" x="444"/>
        <item m="1" x="359"/>
        <item m="1" x="3984"/>
        <item m="1" x="360"/>
        <item m="1" x="3985"/>
        <item m="1" x="2192"/>
        <item m="1" x="3975"/>
        <item m="1" x="336"/>
        <item m="1" x="2376"/>
        <item m="1" x="510"/>
        <item m="1" x="3996"/>
        <item m="1" x="3994"/>
        <item m="1" x="366"/>
        <item m="1" x="3963"/>
        <item m="1" x="3991"/>
        <item m="1" x="2230"/>
        <item m="1" x="2288"/>
        <item m="1" x="2224"/>
        <item m="1" x="334"/>
        <item m="1" x="4143"/>
        <item m="1" x="3964"/>
        <item m="1" x="2176"/>
        <item m="1" x="2198"/>
        <item m="1" x="348"/>
        <item m="1" x="3973"/>
        <item m="1" x="3974"/>
        <item m="1" x="2185"/>
        <item m="1" x="2199"/>
        <item m="1" x="4020"/>
        <item m="1" x="4050"/>
        <item m="1" x="408"/>
        <item m="1" x="2243"/>
        <item m="1" x="331"/>
        <item m="1" x="321"/>
        <item m="1" x="392"/>
        <item m="1" x="426"/>
        <item m="1" x="327"/>
        <item m="1" x="2261"/>
        <item m="1" x="503"/>
        <item m="1" x="396"/>
        <item m="1" x="2233"/>
        <item m="1" x="2205"/>
        <item m="1" x="320"/>
        <item m="1" x="2229"/>
        <item m="1" x="2231"/>
        <item m="1" x="441"/>
        <item m="1" x="3953"/>
        <item m="1" x="2235"/>
        <item m="1" x="309"/>
        <item m="1" x="3944"/>
        <item m="1" x="3945"/>
        <item m="1" x="4059"/>
        <item m="1" x="437"/>
        <item m="1" x="399"/>
        <item m="1" x="2202"/>
        <item m="1" x="3909"/>
        <item m="1" x="2124"/>
        <item m="1" x="394"/>
        <item m="1" x="436"/>
        <item m="1" x="2209"/>
        <item m="1" x="4041"/>
        <item m="1" x="373"/>
        <item m="1" x="2164"/>
        <item m="1" x="2228"/>
        <item m="1" x="2371"/>
        <item m="1" x="2174"/>
        <item m="1" x="2264"/>
        <item m="1" x="4022"/>
        <item m="1" x="4004"/>
        <item m="1" x="3954"/>
        <item m="1" x="4042"/>
        <item m="1" x="2241"/>
        <item m="1" x="427"/>
        <item m="1" x="3958"/>
        <item m="1" x="439"/>
        <item m="1" x="505"/>
        <item m="1" x="3925"/>
        <item m="1" x="2157"/>
        <item m="1" x="2158"/>
        <item m="1" x="3946"/>
        <item m="1" x="507"/>
        <item m="1" x="401"/>
        <item m="1" x="2177"/>
        <item m="1" x="2206"/>
        <item m="1" x="435"/>
        <item m="1" x="368"/>
        <item m="1" x="2281"/>
        <item m="1" x="428"/>
        <item m="1" x="506"/>
        <item m="1" x="2234"/>
        <item m="1" x="3955"/>
        <item m="1" x="2211"/>
        <item m="1" x="371"/>
        <item m="1" x="4001"/>
        <item m="1" x="2277"/>
        <item m="1" x="2378"/>
        <item m="1" x="512"/>
        <item m="1" x="2203"/>
        <item m="1" x="4066"/>
        <item m="1" x="2289"/>
        <item m="1" x="2265"/>
        <item m="1" x="388"/>
        <item m="1" x="2372"/>
        <item m="1" x="397"/>
        <item m="1" x="2239"/>
        <item m="1" x="2171"/>
        <item m="1" x="2216"/>
        <item m="1" x="4012"/>
        <item m="1" x="3956"/>
        <item m="1" x="429"/>
        <item m="1" x="370"/>
        <item m="1" x="386"/>
        <item m="1" x="2165"/>
        <item m="1" x="2227"/>
        <item m="1" x="4019"/>
        <item m="1" x="3910"/>
        <item m="1" x="3911"/>
        <item m="1" x="2219"/>
        <item m="1" x="4075"/>
        <item m="1" x="4060"/>
        <item m="1" x="2125"/>
        <item m="1" x="385"/>
        <item m="1" x="430"/>
        <item m="1" x="4057"/>
        <item m="1" x="296"/>
        <item m="1" x="2226"/>
        <item m="1" x="2285"/>
        <item m="1" x="339"/>
        <item m="1" x="2166"/>
        <item m="1" x="4043"/>
        <item m="1" x="4014"/>
        <item m="1" x="329"/>
        <item m="1" x="375"/>
        <item m="1" x="2266"/>
        <item m="1" x="4044"/>
        <item m="1" x="2156"/>
        <item m="1" x="341"/>
        <item m="1" x="4051"/>
        <item m="1" x="2215"/>
        <item m="1" x="2214"/>
        <item m="1" x="325"/>
        <item m="1" x="4002"/>
        <item m="1" x="4039"/>
        <item m="1" x="4045"/>
        <item m="1" x="3999"/>
        <item m="1" x="330"/>
        <item m="1" x="2276"/>
        <item m="1" x="2217"/>
        <item m="1" x="2172"/>
        <item m="1" x="2278"/>
        <item m="1" x="4021"/>
        <item m="1" x="4052"/>
        <item m="1" x="349"/>
        <item m="1" x="2267"/>
        <item m="1" x="4010"/>
        <item m="1" x="2167"/>
        <item m="1" x="4174"/>
        <item m="1" x="2221"/>
        <item m="1" x="4008"/>
        <item m="1" x="4009"/>
        <item m="1" x="504"/>
        <item m="1" x="395"/>
        <item m="1" x="2236"/>
        <item m="1" x="2212"/>
        <item m="1" x="405"/>
        <item m="1" x="4141"/>
        <item m="1" x="508"/>
        <item m="1" x="2373"/>
        <item m="1" x="2186"/>
        <item m="1" x="2126"/>
        <item m="1" x="297"/>
        <item m="1" x="4074"/>
        <item m="1" x="449"/>
        <item m="1" x="448"/>
        <item m="1" x="3912"/>
        <item m="1" x="2208"/>
        <item m="1" x="2280"/>
        <item m="1" x="390"/>
        <item m="1" x="4011"/>
        <item m="1" x="326"/>
        <item m="1" x="4046"/>
        <item m="1" x="376"/>
        <item m="1" x="2204"/>
        <item m="1" x="2222"/>
        <item m="1" x="3913"/>
        <item m="1" x="2122"/>
        <item m="1" x="400"/>
        <item m="1" x="342"/>
        <item m="1" x="374"/>
        <item m="1" x="2168"/>
        <item m="1" x="2213"/>
        <item m="1" x="4053"/>
        <item m="1" x="2268"/>
        <item m="1" x="384"/>
        <item m="1" x="3957"/>
        <item m="1" x="3914"/>
        <item m="1" x="382"/>
        <item m="1" x="328"/>
        <item m="1" x="4000"/>
        <item m="1" x="431"/>
        <item m="1" x="2269"/>
        <item m="1" x="2207"/>
        <item m="1" x="432"/>
        <item m="1" x="350"/>
        <item m="1" x="298"/>
        <item m="1" x="4054"/>
        <item m="1" x="391"/>
        <item m="1" x="2270"/>
        <item m="1" x="4024"/>
        <item m="1" x="369"/>
        <item m="1" x="2242"/>
        <item m="1" x="440"/>
        <item m="1" x="4015"/>
        <item m="1" x="389"/>
        <item m="1" x="2271"/>
        <item m="1" x="4061"/>
        <item m="1" x="2175"/>
        <item m="1" x="3915"/>
        <item m="1" x="4073"/>
        <item m="1" x="3908"/>
        <item m="1" x="380"/>
        <item m="1" x="377"/>
        <item m="1" x="2262"/>
        <item m="1" x="3976"/>
        <item m="1" x="381"/>
        <item m="1" x="2263"/>
        <item m="1" x="2169"/>
        <item m="1" x="446"/>
        <item m="1" x="4069"/>
        <item m="1" x="4072"/>
        <item m="1" x="447"/>
        <item m="1" x="4070"/>
        <item m="1" x="4071"/>
        <item m="1" x="4018"/>
        <item m="1" x="2128"/>
        <item m="1" x="299"/>
        <item m="1" x="300"/>
        <item m="1" x="301"/>
        <item m="1" x="2123"/>
        <item m="1" x="387"/>
        <item m="1" x="4049"/>
        <item m="1" x="2272"/>
        <item m="1" x="4013"/>
        <item m="1" x="433"/>
        <item m="1" x="404"/>
        <item m="1" x="2170"/>
        <item m="1" x="393"/>
        <item m="1" x="4047"/>
        <item m="1" x="3959"/>
        <item m="1" x="406"/>
        <item m="1" x="4007"/>
        <item m="1" x="425"/>
        <item m="1" x="403"/>
        <item m="1" x="2279"/>
        <item m="1" x="383"/>
        <item m="1" x="2173"/>
        <item m="1" x="3916"/>
        <item m="1" x="2292"/>
        <item m="1" x="2293"/>
        <item m="1" x="4058"/>
        <item m="1" x="438"/>
        <item m="1" x="372"/>
        <item m="1" x="4040"/>
        <item m="1" x="2187"/>
        <item m="1" x="4016"/>
        <item m="1" x="509"/>
        <item m="1" x="4142"/>
        <item m="1" x="4003"/>
        <item m="1" x="2374"/>
        <item m="1" x="2375"/>
        <item m="1" x="4055"/>
        <item m="1" x="4005"/>
        <item m="1" x="4062"/>
        <item m="1" x="2282"/>
        <item m="1" x="2283"/>
        <item m="1" x="442"/>
        <item m="1" x="4063"/>
        <item m="1" x="302"/>
        <item m="1" x="2273"/>
        <item m="1" x="4023"/>
        <item m="1" x="4048"/>
        <item m="1" x="2210"/>
        <item m="1" x="2220"/>
        <item m="1" x="434"/>
        <item m="1" x="4006"/>
        <item m="1" x="4139"/>
        <item m="1" x="2274"/>
        <item m="1" x="4140"/>
        <item m="1" x="2232"/>
        <item m="1" x="310"/>
        <item m="1" x="3947"/>
        <item m="1" x="3948"/>
        <item m="1" x="2129"/>
        <item m="1" x="4138"/>
        <item m="1" x="4017"/>
        <item m="1" x="398"/>
        <item m="1" x="2240"/>
        <item m="1" x="2275"/>
        <item m="1" x="2218"/>
        <item m="1" x="407"/>
        <item m="1" x="4056"/>
        <item m="1" x="5475"/>
        <item m="1" x="5469"/>
        <item m="1" x="1290"/>
        <item m="1" x="3254"/>
        <item m="1" x="1255"/>
        <item m="1" x="3086"/>
        <item m="1" x="1256"/>
        <item m="1" x="3085"/>
        <item m="1" x="1339"/>
        <item m="1" x="5007"/>
        <item m="1" x="477"/>
        <item m="1" x="2328"/>
        <item m="1" x="4986"/>
        <item m="1" x="1425"/>
        <item m="1" x="1397"/>
        <item m="1" x="4769"/>
        <item m="1" x="1326"/>
        <item m="1" x="1031"/>
        <item m="1" x="1032"/>
        <item m="1" x="3136"/>
        <item m="1" x="3137"/>
        <item m="1" x="1293"/>
        <item m="1" x="1292"/>
        <item m="1" x="3114"/>
        <item m="1" x="3158"/>
        <item m="1" x="4892"/>
        <item m="1" x="3159"/>
        <item m="1" x="4894"/>
        <item m="1" x="1342"/>
        <item m="1" x="4893"/>
        <item m="1" x="1341"/>
        <item m="1" x="1340"/>
        <item m="1" x="800"/>
        <item m="1" x="2650"/>
        <item m="1" x="4977"/>
        <item m="1" x="1291"/>
        <item m="1" x="4720"/>
        <item m="1" x="3160"/>
        <item m="1" x="3142"/>
        <item m="1" x="3654"/>
        <item m="1" x="1790"/>
        <item m="1" x="1730"/>
        <item m="1" x="2954"/>
        <item m="1" x="1317"/>
        <item m="1" x="826"/>
        <item m="1" x="1242"/>
        <item m="1" x="3072"/>
        <item m="1" x="1257"/>
        <item m="1" x="3273"/>
        <item m="1" x="5008"/>
        <item m="1" x="1213"/>
        <item m="1" x="3027"/>
        <item m="1" x="3028"/>
        <item m="1" x="4778"/>
        <item m="1" x="3022"/>
        <item m="1" x="1207"/>
        <item m="1" x="1208"/>
        <item m="1" x="4770"/>
        <item m="1" x="4771"/>
        <item m="1" x="4772"/>
        <item m="1" x="1209"/>
        <item m="1" x="1210"/>
        <item m="1" x="3025"/>
        <item m="1" x="3026"/>
        <item m="1" x="4773"/>
        <item m="1" x="4774"/>
        <item m="1" x="3023"/>
        <item m="1" x="1211"/>
        <item m="1" x="3024"/>
        <item m="1" x="4777"/>
        <item m="1" x="4775"/>
        <item m="1" x="4776"/>
        <item m="1" x="1212"/>
        <item m="1" x="4933"/>
        <item m="1" x="1392"/>
        <item m="1" x="3223"/>
        <item m="1" x="4883"/>
        <item m="1" x="2919"/>
        <item m="1" x="2920"/>
        <item m="1" x="1102"/>
        <item m="1" x="3088"/>
        <item m="1" x="3087"/>
        <item m="1" x="3514"/>
        <item m="1" x="3115"/>
        <item m="1" x="4849"/>
        <item m="1" x="5315"/>
        <item m="1" x="1475"/>
        <item m="1" x="2674"/>
        <item m="1" x="809"/>
        <item m="1" x="1409"/>
        <item m="1" x="5311"/>
        <item m="1" x="1818"/>
        <item m="1" x="1766"/>
        <item m="1" x="1776"/>
        <item m="1" x="4442"/>
        <item m="1" x="4708"/>
        <item m="1" x="3055"/>
        <item m="1" x="3232"/>
        <item m="1" x="827"/>
        <item m="1" x="2667"/>
        <item m="1" x="4804"/>
        <item m="1" x="1258"/>
        <item m="1" x="1259"/>
        <item m="1" x="5305"/>
        <item m="1" x="3636"/>
        <item m="1" x="3637"/>
        <item m="1" x="5409"/>
        <item m="1" x="5314"/>
        <item m="1" x="4436"/>
        <item m="1" x="4963"/>
        <item m="1" x="2957"/>
        <item m="1" x="2966"/>
        <item m="1" x="3089"/>
        <item m="1" x="5009"/>
        <item m="1" x="2333"/>
        <item m="1" x="4096"/>
        <item m="1" x="4987"/>
        <item m="1" x="1426"/>
        <item m="1" x="1025"/>
        <item m="1" x="4944"/>
        <item m="1" x="3278"/>
        <item m="1" x="1249"/>
        <item m="1" x="1330"/>
        <item m="1" x="1329"/>
        <item m="1" x="4884"/>
        <item m="1" x="1750"/>
        <item m="1" x="1318"/>
        <item m="1" x="1137"/>
        <item m="1" x="2921"/>
        <item m="1" x="2922"/>
        <item m="1" x="1103"/>
        <item m="1" x="1104"/>
        <item m="1" x="4690"/>
        <item m="1" x="4689"/>
        <item m="1" x="1098"/>
        <item m="1" x="4992"/>
        <item m="1" x="3280"/>
        <item m="1" x="4126"/>
        <item m="1" x="3029"/>
        <item m="1" x="4779"/>
        <item m="1" x="1214"/>
        <item m="1" x="4780"/>
        <item m="1" x="3033"/>
        <item m="1" x="1215"/>
        <item m="1" x="4781"/>
        <item m="1" x="4782"/>
        <item m="1" x="3030"/>
        <item m="1" x="3031"/>
        <item m="1" x="1216"/>
        <item m="1" x="3032"/>
        <item m="1" x="2365"/>
        <item m="1" x="3267"/>
        <item m="1" x="3261"/>
        <item m="1" x="1398"/>
        <item m="1" x="1260"/>
        <item m="1" x="4832"/>
        <item m="1" x="4831"/>
        <item m="1" x="4444"/>
        <item m="1" x="4445"/>
        <item m="1" x="2645"/>
        <item m="1" x="3084"/>
        <item m="1" x="1254"/>
        <item m="1" x="4122"/>
        <item m="1" x="4113"/>
        <item m="1" x="5283"/>
        <item m="1" x="1121"/>
        <item m="1" x="1122"/>
        <item m="1" x="2999"/>
        <item m="1" x="3000"/>
        <item m="1" x="3001"/>
        <item m="1" x="4754"/>
        <item m="1" x="3002"/>
        <item m="1" x="3003"/>
        <item m="1" x="3004"/>
        <item m="1" x="1253"/>
        <item m="1" x="4931"/>
        <item m="1" x="3215"/>
        <item m="1" x="1388"/>
        <item m="1" x="4830"/>
        <item m="1" x="3079"/>
        <item m="1" x="3080"/>
        <item m="1" x="3081"/>
        <item m="1" x="3083"/>
        <item m="1" x="4960"/>
        <item m="1" x="3082"/>
        <item m="1" x="3532"/>
        <item m="1" x="3220"/>
        <item m="1" x="4988"/>
        <item m="1" x="1294"/>
        <item m="1" x="3116"/>
        <item m="1" x="3271"/>
        <item m="1" x="4966"/>
        <item m="1" x="5037"/>
        <item m="1" x="5004"/>
        <item m="1" x="5336"/>
        <item m="1" x="5335"/>
        <item m="1" x="3638"/>
        <item m="1" x="3282"/>
        <item m="1" x="1489"/>
        <item m="1" x="4722"/>
        <item m="1" x="1488"/>
        <item m="1" x="1362"/>
        <item m="1" x="1261"/>
        <item m="1" x="5010"/>
        <item m="1" x="2358"/>
        <item m="1" x="2336"/>
        <item m="1" x="1441"/>
        <item m="1" x="2651"/>
        <item m="1" x="2652"/>
        <item m="1" x="1390"/>
        <item m="1" x="3208"/>
        <item m="1" x="3233"/>
        <item m="1" x="2933"/>
        <item m="1" x="1119"/>
        <item m="1" x="3522"/>
        <item m="1" x="1735"/>
        <item m="1" x="3521"/>
        <item m="1" x="1736"/>
        <item m="1" x="2963"/>
        <item m="1" x="1778"/>
        <item m="1" x="1777"/>
        <item m="1" x="3268"/>
        <item m="1" x="3262"/>
        <item m="1" x="3090"/>
        <item m="1" x="1262"/>
        <item m="1" x="1140"/>
        <item m="1" x="1149"/>
        <item m="1" x="3283"/>
        <item m="1" x="5035"/>
        <item m="1" x="3538"/>
        <item m="1" x="4903"/>
        <item m="1" x="5333"/>
        <item m="1" x="1722"/>
        <item m="1" x="1442"/>
        <item m="1" x="5038"/>
        <item m="1" x="1491"/>
        <item m="1" x="4706"/>
        <item m="1" x="1490"/>
        <item m="1" x="4879"/>
        <item m="1" x="3165"/>
        <item m="1" x="2923"/>
        <item m="1" x="4875"/>
        <item m="1" x="1313"/>
        <item m="1" x="821"/>
        <item m="1" x="2660"/>
        <item m="1" x="822"/>
        <item m="1" x="3570"/>
        <item m="1" x="4958"/>
        <item m="1" x="2936"/>
        <item m="1" x="4699"/>
        <item m="1" x="4850"/>
        <item m="1" x="1105"/>
        <item m="1" x="1295"/>
        <item m="1" x="3117"/>
        <item m="1" x="4851"/>
        <item m="1" x="3118"/>
        <item m="1" x="3553"/>
        <item m="1" x="5424"/>
        <item m="1" x="5011"/>
        <item m="1" x="4098"/>
        <item m="1" x="2329"/>
        <item m="1" x="3263"/>
        <item m="1" x="4983"/>
        <item m="1" x="3649"/>
        <item m="1" x="1386"/>
        <item m="1" x="3211"/>
        <item m="1" x="4936"/>
        <item m="1" x="4686"/>
        <item m="1" x="4945"/>
        <item m="1" x="3640"/>
        <item m="1" x="5419"/>
        <item m="1" x="1879"/>
        <item m="1" x="5420"/>
        <item m="1" x="3641"/>
        <item m="1" x="3642"/>
        <item m="1" x="3643"/>
        <item m="1" x="3644"/>
        <item m="1" x="1880"/>
        <item m="1" x="3147"/>
        <item m="1" x="3075"/>
        <item m="1" x="1250"/>
        <item m="1" x="2647"/>
        <item m="1" x="478"/>
        <item m="1" x="473"/>
        <item m="1" x="1759"/>
        <item m="1" x="4978"/>
        <item m="1" x="4723"/>
        <item m="1" x="5012"/>
        <item m="1" x="1437"/>
        <item m="1" x="3234"/>
        <item m="1" x="3284"/>
        <item m="1" x="5003"/>
        <item m="1" x="2649"/>
        <item m="1" x="1771"/>
        <item m="1" x="4852"/>
        <item m="1" x="4967"/>
        <item m="1" x="4457"/>
        <item m="1" x="4458"/>
        <item m="1" x="5013"/>
        <item m="1" x="1413"/>
        <item m="1" x="4910"/>
        <item m="1" x="3285"/>
        <item m="1" x="819"/>
        <item m="1" x="820"/>
        <item m="1" x="1443"/>
        <item m="1" x="1769"/>
        <item m="1" x="3064"/>
        <item m="1" x="2926"/>
        <item m="1" x="4821"/>
        <item m="1" x="4759"/>
        <item m="1" x="4760"/>
        <item m="1" x="3012"/>
        <item m="1" x="4761"/>
        <item m="1" x="4950"/>
        <item m="1" x="1092"/>
        <item m="1" x="1319"/>
        <item m="1" x="4813"/>
        <item m="1" x="5304"/>
        <item m="1" x="1414"/>
        <item m="1" x="5046"/>
        <item m="1" x="3319"/>
        <item m="1" x="3318"/>
        <item m="1" x="1410"/>
        <item m="1" x="3146"/>
        <item m="1" x="4833"/>
        <item m="1" x="3119"/>
        <item m="1" x="811"/>
        <item m="1" x="4435"/>
        <item m="1" x="4993"/>
        <item m="1" x="2927"/>
        <item m="1" x="3286"/>
        <item m="1" x="1477"/>
        <item m="1" x="2352"/>
        <item m="1" x="2343"/>
        <item m="1" x="5416"/>
        <item m="1" x="5417"/>
        <item m="1" x="3269"/>
        <item m="1" x="1427"/>
        <item m="1" x="2941"/>
        <item m="1" x="1233"/>
        <item m="1" x="4946"/>
        <item m="1" x="1434"/>
        <item m="1" x="5302"/>
        <item m="1" x="4826"/>
        <item m="1" x="3549"/>
        <item m="1" x="4853"/>
        <item m="1" x="4822"/>
        <item m="1" x="3235"/>
        <item m="1" x="832"/>
        <item m="1" x="4968"/>
        <item m="1" x="4691"/>
        <item m="1" x="1106"/>
        <item m="1" x="4994"/>
        <item m="1" x="1296"/>
        <item m="1" x="5014"/>
        <item m="1" x="5036"/>
        <item m="1" x="3264"/>
        <item m="1" x="3257"/>
        <item m="1" x="3224"/>
        <item m="1" x="1436"/>
        <item m="1" x="1327"/>
        <item m="1" x="5301"/>
        <item m="1" x="3076"/>
        <item m="1" x="4688"/>
        <item m="1" x="3176"/>
        <item m="1" x="1363"/>
        <item m="1" x="4911"/>
        <item m="1" x="1789"/>
        <item m="1" x="1114"/>
        <item m="1" x="4704"/>
        <item m="1" x="3011"/>
        <item m="1" x="4768"/>
        <item m="1" x="4951"/>
        <item m="1" x="2912"/>
        <item m="1" x="4880"/>
        <item m="1" x="492"/>
        <item m="1" x="2337"/>
        <item m="1" x="1816"/>
        <item m="1" x="4969"/>
        <item m="1" x="2950"/>
        <item m="1" x="1814"/>
        <item m="1" x="1731"/>
        <item m="1" x="1263"/>
        <item m="1" x="2928"/>
        <item m="1" x="3274"/>
        <item m="1" x="1444"/>
        <item m="1" x="3034"/>
        <item m="1" x="3035"/>
        <item m="1" x="1217"/>
        <item m="1" x="3036"/>
        <item m="1" x="1218"/>
        <item m="1" x="3009"/>
        <item m="1" x="4895"/>
        <item m="1" x="3205"/>
        <item m="1" x="3210"/>
        <item m="1" x="1389"/>
        <item m="1" x="1399"/>
        <item m="1" x="1435"/>
        <item m="1" x="3195"/>
        <item m="1" x="1375"/>
        <item m="1" x="4923"/>
        <item m="1" x="3197"/>
        <item m="1" x="3196"/>
        <item m="1" x="4924"/>
        <item m="1" x="4925"/>
        <item m="1" x="1297"/>
        <item m="1" x="3073"/>
        <item m="1" x="3236"/>
        <item m="1" x="3287"/>
        <item m="1" x="1343"/>
        <item m="1" x="5352"/>
        <item m="1" x="493"/>
        <item m="1" x="480"/>
        <item m="1" x="1134"/>
        <item m="1" x="2965"/>
        <item m="1" x="1264"/>
        <item m="1" x="3092"/>
        <item m="1" x="1445"/>
        <item m="1" x="3037"/>
        <item m="1" x="4783"/>
        <item m="1" x="1219"/>
        <item m="1" x="1333"/>
        <item m="1" x="1026"/>
        <item m="1" x="2845"/>
        <item m="1" x="3227"/>
        <item m="1" x="3150"/>
        <item m="1" x="2967"/>
        <item m="1" x="4725"/>
        <item m="1" x="1151"/>
        <item m="1" x="1754"/>
        <item m="1" x="5321"/>
        <item m="1" x="3582"/>
        <item m="1" x="5297"/>
        <item m="1" x="4127"/>
        <item m="1" x="3561"/>
        <item m="1" x="2338"/>
        <item m="1" x="1815"/>
        <item m="1" x="1118"/>
        <item m="1" x="2948"/>
        <item m="1" x="5047"/>
        <item m="1" x="3651"/>
        <item m="1" x="1741"/>
        <item m="1" x="5410"/>
        <item m="1" x="1132"/>
        <item m="1" x="4896"/>
        <item m="1" x="4952"/>
        <item m="1" x="1320"/>
        <item m="1" x="5015"/>
        <item m="1" x="4854"/>
        <item m="1" x="1244"/>
        <item m="1" x="5005"/>
        <item m="1" x="3551"/>
        <item m="1" x="2661"/>
        <item m="1" x="823"/>
        <item m="1" x="5284"/>
        <item m="1" x="1402"/>
        <item m="1" x="3523"/>
        <item m="1" x="1298"/>
        <item m="1" x="1737"/>
        <item m="1" x="3524"/>
        <item m="1" x="1738"/>
        <item m="1" x="1739"/>
        <item m="1" x="3014"/>
        <item m="1" x="1190"/>
        <item m="1" x="4755"/>
        <item m="1" x="3006"/>
        <item m="1" x="5049"/>
        <item m="1" x="4953"/>
        <item m="1" x="5048"/>
        <item m="1" x="4881"/>
        <item m="1" x="3056"/>
        <item m="1" x="1446"/>
        <item m="1" x="3143"/>
        <item m="1" x="479"/>
        <item m="1" x="2330"/>
        <item m="1" x="5050"/>
        <item m="1" x="3320"/>
        <item m="1" x="1265"/>
        <item m="1" x="1266"/>
        <item m="1" x="5338"/>
        <item m="1" x="3568"/>
        <item m="1" x="3237"/>
        <item m="1" x="1487"/>
        <item m="1" x="2673"/>
        <item m="1" x="4904"/>
        <item m="1" x="4694"/>
        <item m="1" x="1447"/>
        <item m="1" x="1478"/>
        <item m="1" x="2945"/>
        <item m="1" x="1131"/>
        <item m="1" x="2946"/>
        <item m="1" x="2947"/>
        <item m="1" x="1194"/>
        <item m="1" x="3018"/>
        <item m="1" x="4767"/>
        <item m="1" x="1205"/>
        <item m="1" x="5351"/>
        <item m="1" x="5418"/>
        <item m="1" x="5412"/>
        <item m="1" x="3583"/>
        <item m="1" x="4954"/>
        <item m="1" x="1093"/>
        <item m="1" x="4712"/>
        <item m="1" x="1107"/>
        <item m="1" x="4692"/>
        <item m="1" x="1108"/>
        <item m="1" x="4693"/>
        <item m="1" x="1267"/>
        <item m="1" x="1268"/>
        <item m="1" x="4995"/>
        <item m="1" x="3288"/>
        <item m="1" x="2353"/>
        <item m="1" x="2344"/>
        <item m="1" x="1234"/>
        <item m="1" x="4930"/>
        <item m="1" x="3209"/>
        <item m="1" x="4934"/>
        <item m="1" x="3155"/>
        <item m="1" x="4947"/>
        <item m="1" x="4997"/>
        <item m="1" x="1101"/>
        <item m="1" x="3057"/>
        <item m="1" x="2958"/>
        <item m="1" x="3144"/>
        <item m="1" x="3639"/>
        <item m="1" x="3161"/>
        <item m="1" x="1448"/>
        <item m="1" x="1888"/>
        <item m="1" x="1299"/>
        <item m="1" x="4855"/>
        <item m="1" x="4805"/>
        <item m="1" x="1415"/>
        <item m="1" x="4715"/>
        <item m="1" x="5306"/>
        <item m="1" x="1384"/>
        <item m="1" x="5051"/>
        <item m="1" x="4705"/>
        <item m="1" x="1492"/>
        <item m="1" x="1449"/>
        <item m="1" x="2669"/>
        <item m="1" x="4834"/>
        <item m="1" x="1353"/>
        <item m="1" x="1411"/>
        <item m="1" x="2956"/>
        <item m="1" x="4939"/>
        <item m="1" x="3219"/>
        <item m="1" x="1570"/>
        <item m="1" x="1579"/>
        <item m="1" x="1845"/>
        <item m="1" x="3377"/>
        <item m="1" x="1833"/>
        <item m="1" x="3579"/>
        <item m="1" x="1569"/>
        <item m="1" x="1577"/>
        <item m="1" x="5107"/>
        <item m="1" x="1572"/>
        <item m="1" x="3370"/>
        <item m="1" x="1866"/>
        <item m="1" x="1865"/>
        <item m="1" x="3630"/>
        <item m="1" x="5405"/>
        <item m="1" x="3586"/>
        <item m="1" x="3633"/>
        <item m="1" x="4077"/>
        <item m="1" x="3619"/>
        <item m="1" x="3626"/>
        <item m="1" x="5399"/>
        <item m="1" x="3624"/>
        <item m="1" x="1860"/>
        <item m="1" x="1858"/>
        <item m="1" x="3625"/>
        <item m="1" x="3381"/>
        <item m="1" x="5117"/>
        <item m="1" x="1576"/>
        <item m="1" x="5116"/>
        <item m="1" x="3389"/>
        <item m="1" x="2296"/>
        <item m="1" x="5122"/>
        <item m="1" x="5120"/>
        <item m="1" x="1849"/>
        <item m="1" x="5368"/>
        <item m="1" x="3372"/>
        <item m="1" x="3380"/>
        <item m="1" x="5372"/>
        <item m="1" x="3369"/>
        <item m="1" x="5391"/>
        <item m="1" x="1869"/>
        <item m="1" x="3608"/>
        <item m="1" x="1826"/>
        <item m="1" x="3623"/>
        <item m="1" x="1872"/>
        <item m="1" x="5381"/>
        <item m="1" x="1836"/>
        <item m="1" x="1567"/>
        <item m="1" x="3384"/>
        <item m="1" x="3387"/>
        <item m="1" x="3593"/>
        <item m="1" x="3378"/>
        <item m="1" x="3376"/>
        <item m="1" x="3383"/>
        <item m="1" x="1820"/>
        <item m="1" x="1868"/>
        <item m="1" x="3385"/>
        <item m="1" x="5121"/>
        <item m="1" x="5119"/>
        <item m="1" x="1580"/>
        <item m="1" x="3382"/>
        <item m="1" x="3388"/>
        <item m="1" x="5113"/>
        <item m="1" x="3374"/>
        <item m="1" x="1575"/>
        <item m="1" x="3578"/>
        <item m="1" x="1852"/>
        <item m="1" x="1827"/>
        <item m="1" x="3598"/>
        <item m="1" x="5123"/>
        <item m="1" x="3607"/>
        <item m="1" x="3611"/>
        <item m="1" x="3590"/>
        <item m="1" x="3574"/>
        <item m="1" x="3439"/>
        <item m="1" x="5355"/>
        <item m="1" x="1828"/>
        <item m="1" x="3609"/>
        <item m="1" x="3602"/>
        <item m="1" x="3601"/>
        <item m="1" x="3589"/>
        <item m="1" x="3613"/>
        <item m="1" x="3606"/>
        <item m="1" x="3620"/>
        <item m="1" x="3612"/>
        <item m="1" x="1832"/>
        <item m="1" x="1855"/>
        <item m="1" x="3371"/>
        <item m="1" x="3379"/>
        <item m="1" x="5110"/>
        <item m="1" x="5114"/>
        <item m="1" x="5108"/>
        <item m="1" x="1568"/>
        <item m="1" x="5111"/>
        <item m="1" x="5360"/>
        <item m="1" x="3576"/>
        <item m="1" x="3571"/>
        <item m="1" x="5386"/>
        <item m="1" x="1841"/>
        <item m="1" x="5362"/>
        <item m="1" x="3595"/>
        <item m="1" x="3517"/>
        <item m="1" x="3515"/>
        <item m="1" x="3375"/>
        <item m="1" x="3566"/>
        <item m="1" x="1726"/>
        <item m="1" x="2380"/>
        <item m="1" x="1812"/>
        <item m="1" x="5112"/>
        <item m="1" x="1808"/>
        <item m="1" x="1578"/>
        <item m="1" x="1573"/>
        <item m="1" x="5118"/>
        <item m="1" x="1574"/>
        <item m="1" x="3386"/>
        <item m="1" x="5115"/>
        <item m="1" x="1571"/>
        <item m="1" x="5109"/>
        <item m="1" x="1846"/>
        <item m="1" x="3585"/>
        <item m="1" x="3373"/>
        <item m="1" x="3487"/>
        <item m="1" x="3289"/>
        <item m="1" x="2359"/>
        <item m="1" x="481"/>
        <item m="1" x="3120"/>
        <item m="1" x="3548"/>
        <item m="1" x="3543"/>
        <item m="1" x="5307"/>
        <item m="1" x="3550"/>
        <item m="1" x="3065"/>
        <item m="1" x="1732"/>
        <item m="1" x="5318"/>
        <item m="1" x="5039"/>
        <item m="1" x="1493"/>
        <item m="1" x="1744"/>
        <item m="1" x="5292"/>
        <item m="1" x="3547"/>
        <item m="1" x="1416"/>
        <item m="1" x="3121"/>
        <item m="1" x="4856"/>
        <item m="1" x="1300"/>
        <item m="1" x="4857"/>
        <item m="1" x="5052"/>
        <item m="1" x="1450"/>
        <item m="1" x="4099"/>
        <item m="1" x="2331"/>
        <item m="1" x="5053"/>
        <item m="1" x="1344"/>
        <item m="1" x="4716"/>
        <item m="1" x="3321"/>
        <item m="1" x="3188"/>
        <item m="1" x="3094"/>
        <item m="1" x="4835"/>
        <item m="1" x="3093"/>
        <item m="1" x="1345"/>
        <item m="1" x="4806"/>
        <item m="1" x="2955"/>
        <item m="1" x="3162"/>
        <item m="1" x="3653"/>
        <item m="1" x="1764"/>
        <item m="1" x="3290"/>
        <item m="1" x="1380"/>
        <item m="1" x="1376"/>
        <item m="1" x="1377"/>
        <item m="1" x="1378"/>
        <item m="1" x="3200"/>
        <item m="1" x="4926"/>
        <item m="1" x="1379"/>
        <item m="1" x="4928"/>
        <item m="1" x="4927"/>
        <item m="1" x="3198"/>
        <item m="1" x="1381"/>
        <item m="1" x="3199"/>
        <item m="1" x="5016"/>
        <item m="1" x="2360"/>
        <item m="1" x="482"/>
        <item m="1" x="1346"/>
        <item m="1" x="4885"/>
        <item m="1" x="1334"/>
        <item m="1" x="3151"/>
        <item m="1" x="1335"/>
        <item m="1" x="1027"/>
        <item m="1" x="1028"/>
        <item m="1" x="1395"/>
        <item m="1" x="4828"/>
        <item m="1" x="1251"/>
        <item m="1" x="1152"/>
        <item m="1" x="2968"/>
        <item m="1" x="1153"/>
        <item m="1" x="1252"/>
        <item m="1" x="5017"/>
        <item m="1" x="4905"/>
        <item m="1" x="2960"/>
        <item m="1" x="3167"/>
        <item m="1" x="4858"/>
        <item m="1" x="1758"/>
        <item m="1" x="3569"/>
        <item m="1" x="3238"/>
        <item m="1" x="1382"/>
        <item m="1" x="5309"/>
        <item m="1" x="5327"/>
        <item m="1" x="5332"/>
        <item m="1" x="5295"/>
        <item m="1" x="1451"/>
        <item m="1" x="1476"/>
        <item m="1" x="5018"/>
        <item m="1" x="4439"/>
        <item m="1" x="2959"/>
        <item m="1" x="812"/>
        <item m="1" x="4451"/>
        <item m="1" x="3122"/>
        <item m="1" x="4908"/>
        <item m="1" x="3163"/>
        <item m="1" x="1452"/>
        <item m="1" x="4116"/>
        <item m="1" x="2345"/>
        <item m="1" x="2655"/>
        <item m="1" x="1235"/>
        <item m="1" x="1269"/>
        <item m="1" x="3066"/>
        <item m="1" x="3291"/>
        <item m="1" x="5040"/>
        <item m="1" x="5002"/>
        <item m="1" x="2354"/>
        <item m="1" x="4110"/>
        <item m="1" x="1430"/>
        <item m="1" x="4461"/>
        <item m="1" x="829"/>
        <item m="1" x="830"/>
        <item m="1" x="4964"/>
        <item m="1" x="1753"/>
        <item m="1" x="3565"/>
        <item m="1" x="2949"/>
        <item m="1" x="798"/>
        <item m="1" x="1360"/>
        <item m="1" x="824"/>
        <item m="1" x="2662"/>
        <item m="1" x="1301"/>
        <item m="1" x="1245"/>
        <item m="1" x="3239"/>
        <item m="1" x="4979"/>
        <item m="1" x="3292"/>
        <item m="1" x="5294"/>
        <item m="1" x="5350"/>
        <item m="1" x="1494"/>
        <item m="1" x="1795"/>
        <item m="1" x="1794"/>
        <item m="1" x="1791"/>
        <item m="1" x="3322"/>
        <item m="1" x="3240"/>
        <item m="1" x="4897"/>
        <item m="1" x="4134"/>
        <item m="1" x="500"/>
        <item m="1" x="3168"/>
        <item m="1" x="3169"/>
        <item m="1" x="5019"/>
        <item m="1" x="4452"/>
        <item m="1" x="2648"/>
        <item m="1" x="806"/>
        <item m="1" x="813"/>
        <item m="1" x="4446"/>
        <item m="1" x="814"/>
        <item m="1" x="1236"/>
        <item m="1" x="3229"/>
        <item m="1" x="2931"/>
        <item m="1" x="2932"/>
        <item m="1" x="1116"/>
        <item m="1" x="1366"/>
        <item m="1" x="3177"/>
        <item m="1" x="3178"/>
        <item m="1" x="1431"/>
        <item m="1" x="1453"/>
        <item m="1" x="1479"/>
        <item m="1" x="2355"/>
        <item m="1" x="4784"/>
        <item m="1" x="1220"/>
        <item m="1" x="4785"/>
        <item m="1" x="4794"/>
        <item m="1" x="1221"/>
        <item m="1" x="4786"/>
        <item m="1" x="1222"/>
        <item m="1" x="3038"/>
        <item m="1" x="3039"/>
        <item m="1" x="3040"/>
        <item m="1" x="4787"/>
        <item m="1" x="4788"/>
        <item m="1" x="4789"/>
        <item m="1" x="1223"/>
        <item m="1" x="1224"/>
        <item m="1" x="3041"/>
        <item m="1" x="4790"/>
        <item m="1" x="3042"/>
        <item m="1" x="3043"/>
        <item m="1" x="4791"/>
        <item m="1" x="3044"/>
        <item m="1" x="4792"/>
        <item m="1" x="4793"/>
        <item m="1" x="3045"/>
        <item m="1" x="1090"/>
        <item m="1" x="2346"/>
        <item m="1" x="4886"/>
        <item m="1" x="1029"/>
        <item m="1" x="3222"/>
        <item m="1" x="4998"/>
        <item m="1" x="1154"/>
        <item m="1" x="2969"/>
        <item m="1" x="3533"/>
        <item m="1" x="1752"/>
        <item m="1" x="4829"/>
        <item m="1" x="1302"/>
        <item m="1" x="4859"/>
        <item m="1" x="3190"/>
        <item m="1" x="3189"/>
        <item m="1" x="1372"/>
        <item m="1" x="1373"/>
        <item m="1" x="4918"/>
        <item m="1" x="3191"/>
        <item m="1" x="4823"/>
        <item m="1" x="5353"/>
        <item m="1" x="5055"/>
        <item m="1" x="4713"/>
        <item m="1" x="5054"/>
        <item m="1" x="494"/>
        <item m="1" x="4102"/>
        <item m="1" x="4898"/>
        <item m="1" x="1394"/>
        <item m="1" x="3091"/>
        <item m="1" x="5065"/>
        <item m="1" x="1497"/>
        <item m="1" x="4814"/>
        <item m="1" x="5411"/>
        <item m="1" x="5316"/>
        <item m="1" x="2361"/>
        <item m="1" x="4103"/>
        <item m="1" x="4980"/>
        <item m="1" x="3058"/>
        <item m="1" x="3519"/>
        <item m="1" x="802"/>
        <item m="1" x="4970"/>
        <item m="1" x="3175"/>
        <item m="1" x="4815"/>
        <item m="1" x="4860"/>
        <item m="1" x="4876"/>
        <item m="1" x="1314"/>
        <item m="1" x="3123"/>
        <item m="1" x="1270"/>
        <item m="1" x="1303"/>
        <item m="1" x="4861"/>
        <item m="1" x="3124"/>
        <item m="1" x="1304"/>
        <item m="1" x="3125"/>
        <item m="1" x="1454"/>
        <item m="1" x="2356"/>
        <item m="1" x="487"/>
        <item m="1" x="816"/>
        <item m="1" x="4996"/>
        <item m="1" x="3225"/>
        <item m="1" x="4862"/>
        <item m="1" x="1305"/>
        <item m="1" x="1761"/>
        <item m="1" x="2668"/>
        <item m="1" x="1768"/>
        <item m="1" x="5413"/>
        <item m="1" x="1757"/>
        <item m="1" x="1767"/>
        <item m="1" x="5312"/>
        <item m="1" x="3580"/>
        <item m="1" x="3581"/>
        <item m="1" x="1455"/>
        <item m="1" x="3255"/>
        <item m="1" x="1417"/>
        <item m="1" x="4941"/>
        <item m="1" x="1480"/>
        <item m="1" x="4695"/>
        <item m="1" x="3293"/>
        <item m="1" x="3316"/>
        <item m="1" x="1197"/>
        <item m="1" x="1198"/>
        <item m="1" x="4762"/>
        <item m="1" x="3005"/>
        <item m="1" x="1199"/>
        <item m="1" x="1187"/>
        <item m="1" x="4899"/>
        <item m="1" x="1403"/>
        <item m="1" x="1094"/>
        <item m="1" x="1321"/>
        <item m="1" x="5020"/>
        <item m="1" x="495"/>
        <item m="1" x="2339"/>
        <item m="1" x="1109"/>
        <item m="1" x="1456"/>
        <item m="1" x="1481"/>
        <item m="1" x="2646"/>
        <item m="1" x="4890"/>
        <item m="1" x="1338"/>
        <item m="1" x="3156"/>
        <item m="1" x="4837"/>
        <item m="1" x="1273"/>
        <item m="1" x="4836"/>
        <item m="1" x="1271"/>
        <item m="1" x="1272"/>
        <item m="1" x="3275"/>
        <item m="1" x="3294"/>
        <item m="1" x="5041"/>
        <item m="1" x="4118"/>
        <item m="1" x="3046"/>
        <item m="1" x="3047"/>
        <item m="1" x="4795"/>
        <item m="1" x="1225"/>
        <item m="1" x="1226"/>
        <item m="1" x="3048"/>
        <item m="1" x="4796"/>
        <item m="1" x="4797"/>
        <item m="1" x="2347"/>
        <item m="1" x="1429"/>
        <item m="1" x="1237"/>
        <item m="1" x="3204"/>
        <item m="1" x="3214"/>
        <item m="1" x="4935"/>
        <item m="1" x="4948"/>
        <item m="1" x="3279"/>
        <item m="1" x="5298"/>
        <item m="1" x="5021"/>
        <item m="1" x="3016"/>
        <item m="1" x="1204"/>
        <item m="1" x="3015"/>
        <item m="1" x="1203"/>
        <item m="1" x="4955"/>
        <item m="1" x="4681"/>
        <item m="1" x="1138"/>
        <item m="1" x="5300"/>
        <item m="1" x="1322"/>
        <item m="1" x="5022"/>
        <item m="1" x="4912"/>
        <item m="1" x="3095"/>
        <item m="1" x="4982"/>
        <item m="1" x="1144"/>
        <item m="1" x="1432"/>
        <item m="1" x="1306"/>
        <item m="1" x="4864"/>
        <item m="1" x="3650"/>
        <item m="1" x="2334"/>
        <item m="1" x="474"/>
        <item m="1" x="3265"/>
        <item m="1" x="3258"/>
        <item m="1" x="1883"/>
        <item m="1" x="4932"/>
        <item m="1" x="1391"/>
        <item m="1" x="4937"/>
        <item m="1" x="3152"/>
        <item m="1" x="4634"/>
        <item m="1" x="1030"/>
        <item m="1" x="4942"/>
        <item m="1" x="4999"/>
        <item m="1" x="5421"/>
        <item m="1" x="3645"/>
        <item m="1" x="1881"/>
        <item m="1" x="1882"/>
        <item m="1" x="3646"/>
        <item m="1" x="5422"/>
        <item m="1" x="3647"/>
        <item m="1" x="3648"/>
        <item m="1" x="5423"/>
        <item m="1" x="3149"/>
        <item m="1" x="3078"/>
        <item m="1" x="4863"/>
        <item m="1" x="3126"/>
        <item m="1" x="1307"/>
        <item m="1" x="4906"/>
        <item m="1" x="3241"/>
        <item m="1" x="3170"/>
        <item m="1" x="3171"/>
        <item m="1" x="3540"/>
        <item m="1" x="5328"/>
        <item m="1" x="3560"/>
        <item m="1" x="5296"/>
        <item m="1" x="3295"/>
        <item m="1" x="1482"/>
        <item m="1" x="4700"/>
        <item m="1" x="4765"/>
        <item m="1" x="1404"/>
        <item m="1" x="1323"/>
        <item m="1" x="3201"/>
        <item m="1" x="4807"/>
        <item m="1" x="4838"/>
        <item m="1" x="2659"/>
        <item m="1" x="4971"/>
        <item m="1" x="1457"/>
        <item m="1" x="1354"/>
        <item m="1" x="1418"/>
        <item m="1" x="5023"/>
        <item m="1" x="2362"/>
        <item m="1" x="1228"/>
        <item m="1" x="1229"/>
        <item m="1" x="1230"/>
        <item m="1" x="4800"/>
        <item m="1" x="4801"/>
        <item m="1" x="4803"/>
        <item m="1" x="4802"/>
        <item m="1" x="1231"/>
        <item m="1" x="1232"/>
        <item m="1" x="3054"/>
        <item m="1" x="483"/>
        <item m="1" x="1337"/>
        <item m="1" x="4888"/>
        <item m="1" x="3154"/>
        <item m="1" x="3153"/>
        <item m="1" x="4887"/>
        <item m="1" x="2916"/>
        <item m="1" x="2917"/>
        <item m="1" x="4687"/>
        <item m="1" x="1096"/>
        <item m="1" x="3242"/>
        <item m="1" x="4882"/>
        <item m="1" x="5185"/>
        <item m="1" x="5184"/>
        <item m="1" x="1631"/>
        <item m="1" x="5299"/>
        <item m="1" x="1755"/>
        <item m="1" x="1324"/>
        <item m="1" x="1797"/>
        <item m="1" x="4972"/>
        <item m="1" x="1876"/>
        <item m="1" x="5337"/>
        <item m="1" x="1798"/>
        <item m="1" x="1799"/>
        <item m="1" x="3145"/>
        <item m="1" x="1458"/>
        <item m="1" x="476"/>
        <item m="1" x="472"/>
        <item m="1" x="5057"/>
        <item m="1" x="3256"/>
        <item m="1" x="1120"/>
        <item m="1" x="2937"/>
        <item m="1" x="5325"/>
        <item m="1" x="1136"/>
        <item m="1" x="5056"/>
        <item m="1" x="1779"/>
        <item m="1" x="3556"/>
        <item m="1" x="5322"/>
        <item m="1" x="5323"/>
        <item m="1" x="1780"/>
        <item m="1" x="5324"/>
        <item m="1" x="1459"/>
        <item m="1" x="4128"/>
        <item m="1" x="4104"/>
        <item m="1" x="4959"/>
        <item m="1" x="2964"/>
        <item m="1" x="1099"/>
        <item m="1" x="3127"/>
        <item m="1" x="4965"/>
        <item m="1" x="1142"/>
        <item m="1" x="5024"/>
        <item m="1" x="4119"/>
        <item m="1" x="488"/>
        <item m="1" x="3059"/>
        <item m="1" x="833"/>
        <item m="1" x="1347"/>
        <item m="1" x="3164"/>
        <item m="1" x="4839"/>
        <item m="1" x="3096"/>
        <item m="1" x="3296"/>
        <item m="1" x="2656"/>
        <item m="1" x="2644"/>
        <item m="1" x="4900"/>
        <item m="1" x="1460"/>
        <item m="1" x="3243"/>
        <item m="1" x="3138"/>
        <item m="1" x="3139"/>
        <item m="1" x="3140"/>
        <item m="1" x="3141"/>
        <item m="1" x="5025"/>
        <item m="1" x="5042"/>
        <item m="1" x="2942"/>
        <item m="1" x="4701"/>
        <item m="1" x="4756"/>
        <item m="1" x="4757"/>
        <item m="1" x="4956"/>
        <item m="1" x="2913"/>
        <item m="1" x="2952"/>
        <item m="1" x="1325"/>
        <item m="1" x="5414"/>
        <item m="1" x="496"/>
        <item m="1" x="4105"/>
        <item m="1" x="4717"/>
        <item m="1" x="5334"/>
        <item m="1" x="3112"/>
        <item m="1" x="3128"/>
        <item m="1" x="818"/>
        <item m="1" x="3166"/>
        <item m="1" x="4981"/>
        <item m="1" x="3535"/>
        <item m="1" x="3541"/>
        <item m="1" x="3542"/>
        <item m="1" x="3297"/>
        <item m="1" x="3071"/>
        <item m="1" x="1348"/>
        <item m="1" x="3157"/>
        <item m="1" x="3298"/>
        <item m="1" x="4100"/>
        <item m="1" x="2332"/>
        <item m="1" x="2671"/>
        <item m="1" x="4961"/>
        <item m="1" x="4840"/>
        <item m="1" x="4973"/>
        <item m="1" x="3097"/>
        <item m="1" x="3098"/>
        <item m="1" x="3244"/>
        <item m="1" x="1274"/>
        <item m="1" x="3221"/>
        <item m="1" x="4816"/>
        <item m="1" x="5026"/>
        <item m="1" x="1406"/>
        <item m="1" x="1275"/>
        <item m="1" x="3099"/>
        <item m="1" x="3276"/>
        <item m="1" x="3299"/>
        <item m="1" x="4129"/>
        <item m="1" x="484"/>
        <item m="1" x="1401"/>
        <item m="1" x="1756"/>
        <item m="1" x="4827"/>
        <item m="1" x="3077"/>
        <item m="1" x="4865"/>
        <item m="1" x="3192"/>
        <item m="1" x="3193"/>
        <item m="1" x="4919"/>
        <item m="1" x="4920"/>
        <item m="1" x="4921"/>
        <item m="1" x="4922"/>
        <item m="1" x="5000"/>
        <item m="1" x="4907"/>
        <item m="1" x="3245"/>
        <item m="1" x="4130"/>
        <item m="1" x="2340"/>
        <item m="1" x="4709"/>
        <item m="1" x="2363"/>
        <item m="1" x="2341"/>
        <item m="1" x="1393"/>
        <item m="1" x="1589"/>
        <item m="1" x="5143"/>
        <item m="1" x="3615"/>
        <item m="1" x="1586"/>
        <item m="1" x="1834"/>
        <item m="1" x="1810"/>
        <item m="1" x="3396"/>
        <item m="1" x="1596"/>
        <item m="1" x="5126"/>
        <item m="1" x="3399"/>
        <item m="1" x="1582"/>
        <item m="1" x="1498"/>
        <item m="1" x="1499"/>
        <item m="1" x="5066"/>
        <item m="1" x="1500"/>
        <item m="1" x="5067"/>
        <item m="1" x="5401"/>
        <item m="1" x="3629"/>
        <item m="1" x="3631"/>
        <item m="1" x="1874"/>
        <item m="1" x="3587"/>
        <item m="1" x="5406"/>
        <item m="1" x="4078"/>
        <item m="1" x="5343"/>
        <item m="1" x="1850"/>
        <item m="1" x="3627"/>
        <item m="1" x="1864"/>
        <item m="1" x="1857"/>
        <item m="1" x="5397"/>
        <item m="1" x="5396"/>
        <item m="1" x="5398"/>
        <item m="1" x="5132"/>
        <item m="1" x="3400"/>
        <item m="1" x="3402"/>
        <item m="1" x="3398"/>
        <item m="1" x="5141"/>
        <item m="1" x="2298"/>
        <item m="1" x="3403"/>
        <item m="1" x="1593"/>
        <item m="1" x="3618"/>
        <item m="1" x="1831"/>
        <item m="1" x="5125"/>
        <item m="1" x="5341"/>
        <item m="1" x="5340"/>
        <item m="1" x="5131"/>
        <item m="1" x="1838"/>
        <item m="1" x="5124"/>
        <item m="1" x="1851"/>
        <item m="1" x="1870"/>
        <item m="1" x="5378"/>
        <item m="1" x="3596"/>
        <item m="1" x="5392"/>
        <item m="1" x="1873"/>
        <item m="1" x="3610"/>
        <item m="1" x="3605"/>
        <item m="1" x="1581"/>
        <item m="1" x="5135"/>
        <item m="1" x="5140"/>
        <item m="1" x="1822"/>
        <item m="1" x="1587"/>
        <item m="1" x="3392"/>
        <item m="1" x="5134"/>
        <item m="1" x="5358"/>
        <item m="1" x="5403"/>
        <item m="1" x="3397"/>
        <item m="1" x="1595"/>
        <item m="1" x="5137"/>
        <item m="1" x="1597"/>
        <item m="1" x="3395"/>
        <item m="1" x="3401"/>
        <item m="1" x="3394"/>
        <item m="1" x="1585"/>
        <item m="1" x="1594"/>
        <item m="1" x="5291"/>
        <item m="1" x="1853"/>
        <item m="1" x="3597"/>
        <item m="1" x="5366"/>
        <item m="1" x="3404"/>
        <item m="1" x="5376"/>
        <item m="1" x="5383"/>
        <item m="1" x="3591"/>
        <item m="1" x="1781"/>
        <item m="1" x="3573"/>
        <item m="1" x="3588"/>
        <item m="1" x="1829"/>
        <item m="1" x="5379"/>
        <item m="1" x="3603"/>
        <item m="1" x="5370"/>
        <item m="1" x="5357"/>
        <item m="1" x="3614"/>
        <item m="1" x="5374"/>
        <item m="1" x="5390"/>
        <item m="1" x="1844"/>
        <item m="1" x="3600"/>
        <item m="1" x="5394"/>
        <item m="1" x="1583"/>
        <item m="1" x="5128"/>
        <item m="1" x="5129"/>
        <item m="1" x="5133"/>
        <item m="1" x="5127"/>
        <item m="1" x="3390"/>
        <item m="1" x="1588"/>
        <item m="1" x="4909"/>
        <item m="1" x="5361"/>
        <item m="1" x="3577"/>
        <item m="1" x="5387"/>
        <item m="1" x="5380"/>
        <item m="1" x="5363"/>
        <item m="1" x="1824"/>
        <item m="1" x="5345"/>
        <item m="1" x="3516"/>
        <item m="1" x="3391"/>
        <item m="1" x="3575"/>
        <item m="1" x="1803"/>
        <item m="1" x="4145"/>
        <item m="1" x="5130"/>
        <item m="1" x="5320"/>
        <item m="1" x="5142"/>
        <item m="1" x="1592"/>
        <item m="1" x="1591"/>
        <item m="1" x="5139"/>
        <item m="1" x="5138"/>
        <item m="1" x="5136"/>
        <item m="1" x="1590"/>
        <item m="1" x="3393"/>
        <item m="1" x="1847"/>
        <item m="1" x="1807"/>
        <item m="1" x="1584"/>
        <item m="1" x="4842"/>
        <item m="1" x="4841"/>
        <item m="1" x="1276"/>
        <item m="1" x="3300"/>
        <item m="1" x="4719"/>
        <item m="1" x="4447"/>
        <item m="1" x="2369"/>
        <item m="1" x="2368"/>
        <item m="1" x="1145"/>
        <item m="1" x="3246"/>
        <item m="1" x="4877"/>
        <item m="1" x="815"/>
        <item m="1" x="1884"/>
        <item m="1" x="834"/>
        <item m="1" x="4843"/>
        <item m="1" x="3129"/>
        <item m="1" x="1461"/>
        <item m="1" x="4120"/>
        <item m="1" x="2348"/>
        <item m="1" x="3323"/>
        <item m="1" x="803"/>
        <item m="1" x="4443"/>
        <item m="1" x="4808"/>
        <item m="1" x="1385"/>
        <item m="1" x="3213"/>
        <item m="1" x="3207"/>
        <item m="1" x="5058"/>
        <item m="1" x="5064"/>
        <item m="1" x="3100"/>
        <item m="1" x="5310"/>
        <item m="1" x="1462"/>
        <item m="1" x="3281"/>
        <item m="1" x="4437"/>
        <item m="1" x="4438"/>
        <item m="1" x="1770"/>
        <item m="1" x="5313"/>
        <item m="1" x="4866"/>
        <item m="1" x="1308"/>
        <item m="1" x="3130"/>
        <item m="1" x="3131"/>
        <item m="1" x="4867"/>
        <item m="1" x="1765"/>
        <item m="1" x="3301"/>
        <item m="1" x="1419"/>
        <item m="1" x="1110"/>
        <item m="1" x="2924"/>
        <item m="1" x="1111"/>
        <item m="1" x="810"/>
        <item m="1" x="2653"/>
        <item m="1" x="4456"/>
        <item m="1" x="3247"/>
        <item m="1" x="4698"/>
        <item m="1" x="1117"/>
        <item m="1" x="1364"/>
        <item m="1" x="1365"/>
        <item m="1" x="1433"/>
        <item m="1" x="490"/>
        <item m="1" x="4112"/>
        <item m="1" x="3270"/>
        <item m="1" x="4984"/>
        <item m="1" x="1126"/>
        <item m="1" x="3007"/>
        <item m="1" x="4809"/>
        <item m="1" x="4943"/>
        <item m="1" x="1125"/>
        <item m="1" x="2940"/>
        <item m="1" x="1495"/>
        <item m="1" x="1407"/>
        <item m="1" x="3327"/>
        <item m="1" x="5068"/>
        <item m="1" x="5060"/>
        <item m="1" x="5059"/>
        <item m="1" x="1438"/>
        <item m="1" x="1463"/>
        <item m="1" x="5043"/>
        <item m="1" x="4454"/>
        <item m="1" x="4724"/>
        <item m="1" x="1793"/>
        <item m="1" x="5415"/>
        <item m="1" x="2654"/>
        <item m="1" x="1139"/>
        <item m="1" x="4929"/>
        <item m="1" x="3248"/>
        <item m="1" x="1277"/>
        <item m="1" x="4974"/>
        <item m="1" x="799"/>
        <item m="1" x="3635"/>
        <item m="1" x="3249"/>
        <item m="1" x="5408"/>
        <item m="1" x="5407"/>
        <item m="1" x="3132"/>
        <item m="1" x="1464"/>
        <item m="1" x="1483"/>
        <item m="1" x="5317"/>
        <item m="1" x="3527"/>
        <item m="1" x="5319"/>
        <item m="1" x="4868"/>
        <item m="1" x="1355"/>
        <item m="1" x="1383"/>
        <item m="1" x="1502"/>
        <item m="1" x="3520"/>
        <item m="1" x="1792"/>
        <item m="1" x="1143"/>
        <item m="1" x="1279"/>
        <item m="1" x="1278"/>
        <item m="1" x="3172"/>
        <item m="1" x="1238"/>
        <item m="1" x="3101"/>
        <item m="1" x="5326"/>
        <item m="1" x="3060"/>
        <item m="1" x="1280"/>
        <item m="1" x="2357"/>
        <item m="1" x="2350"/>
        <item m="1" x="2672"/>
        <item m="1" x="2961"/>
        <item m="1" x="3302"/>
        <item m="1" x="1127"/>
        <item m="1" x="1128"/>
        <item m="1" x="3017"/>
        <item m="1" x="1192"/>
        <item m="1" x="3008"/>
        <item m="1" x="4758"/>
        <item m="1" x="1191"/>
        <item m="1" x="1193"/>
        <item m="1" x="4455"/>
        <item m="1" x="4962"/>
        <item m="1" x="4682"/>
        <item m="1" x="3070"/>
        <item m="1" x="4711"/>
        <item m="1" x="4844"/>
        <item m="1" x="4683"/>
        <item m="1" x="1281"/>
        <item m="1" x="4990"/>
        <item m="1" x="4810"/>
        <item m="1" x="1150"/>
        <item m="1" x="3202"/>
        <item m="1" x="5027"/>
        <item m="1" x="1315"/>
        <item m="1" x="3303"/>
        <item m="1" x="3304"/>
        <item m="1" x="2670"/>
        <item m="1" x="1282"/>
        <item m="1" x="497"/>
        <item m="1" x="4106"/>
        <item m="1" x="3536"/>
        <item m="1" x="1115"/>
        <item m="1" x="2930"/>
        <item m="1" x="4869"/>
        <item m="1" x="3173"/>
        <item m="1" x="2929"/>
        <item m="1" x="2943"/>
        <item m="1" x="1129"/>
        <item m="1" x="2944"/>
        <item m="1" x="1130"/>
        <item m="1" x="1408"/>
        <item m="1" x="4684"/>
        <item m="1" x="1147"/>
        <item m="1" x="1465"/>
        <item m="1" x="5044"/>
        <item m="1" x="491"/>
        <item m="1" x="489"/>
        <item m="1" x="3068"/>
        <item m="1" x="1817"/>
        <item m="1" x="4131"/>
        <item m="1" x="3194"/>
        <item m="1" x="485"/>
        <item m="1" x="5061"/>
        <item m="1" x="4901"/>
        <item m="1" x="2962"/>
        <item m="1" x="3324"/>
        <item m="1" x="3203"/>
        <item m="1" x="3102"/>
        <item m="1" x="1466"/>
        <item m="1" x="1484"/>
        <item m="1" x="4123"/>
        <item m="1" x="2351"/>
        <item m="1" x="1412"/>
        <item m="1" x="1243"/>
        <item m="1" x="3305"/>
        <item m="1" x="4878"/>
        <item m="1" x="4820"/>
        <item m="1" x="1877"/>
        <item m="1" x="4870"/>
        <item m="1" x="1467"/>
        <item m="1" x="5006"/>
        <item m="1" x="1440"/>
        <item m="1" x="3564"/>
        <item m="1" x="4572"/>
        <item m="1" x="801"/>
        <item m="1" x="1349"/>
        <item m="1" x="3652"/>
        <item m="1" x="3562"/>
        <item m="1" x="1878"/>
        <item m="1" x="1309"/>
        <item m="1" x="3133"/>
        <item m="1" x="1283"/>
        <item m="1" x="4132"/>
        <item m="1" x="486"/>
        <item m="1" x="1356"/>
        <item m="1" x="1146"/>
        <item m="1" x="3314"/>
        <item m="1" x="1468"/>
        <item m="1" x="2664"/>
        <item m="1" x="1422"/>
        <item m="1" x="2335"/>
        <item m="1" x="4097"/>
        <item m="1" x="3266"/>
        <item m="1" x="3259"/>
        <item m="1" x="1387"/>
        <item m="1" x="3212"/>
        <item m="1" x="1749"/>
        <item m="1" x="1469"/>
        <item m="1" x="1350"/>
        <item m="1" x="2951"/>
        <item m="1" x="1095"/>
        <item m="1" x="2914"/>
        <item m="1" x="3216"/>
        <item m="1" x="3217"/>
        <item m="1" x="3218"/>
        <item m="1" x="2915"/>
        <item m="1" x="4685"/>
        <item m="1" x="5028"/>
        <item m="1" x="1123"/>
        <item m="1" x="1124"/>
        <item m="1" x="2938"/>
        <item m="1" x="2939"/>
        <item m="1" x="4763"/>
        <item m="1" x="4764"/>
        <item m="1" x="1188"/>
        <item m="1" x="1189"/>
        <item m="1" x="1200"/>
        <item m="1" x="1202"/>
        <item m="1" x="1201"/>
        <item m="1" x="3013"/>
        <item m="1" x="3061"/>
        <item m="1" x="3228"/>
        <item m="1" x="3103"/>
        <item m="1" x="4817"/>
        <item m="1" x="1148"/>
        <item m="1" x="3104"/>
        <item m="1" x="4124"/>
        <item m="1" x="4114"/>
        <item m="1" x="3062"/>
        <item m="1" x="3306"/>
        <item m="1" x="3105"/>
        <item m="1" x="4871"/>
        <item m="1" x="3307"/>
        <item m="1" x="3317"/>
        <item m="1" x="5062"/>
        <item m="1" x="4917"/>
        <item m="1" x="3187"/>
        <item m="1" x="3113"/>
        <item m="1" x="1284"/>
        <item m="1" x="1760"/>
        <item m="1" x="1423"/>
        <item m="1" x="5293"/>
        <item m="1" x="2663"/>
        <item m="1" x="825"/>
        <item m="1" x="3272"/>
        <item m="1" x="4845"/>
        <item m="1" x="1762"/>
        <item m="1" x="5329"/>
        <item m="1" x="1788"/>
        <item m="1" x="1285"/>
        <item m="1" x="2665"/>
        <item m="1" x="4459"/>
        <item m="1" x="2666"/>
        <item m="1" x="4811"/>
        <item m="1" x="4714"/>
        <item m="1" x="4460"/>
        <item m="1" x="3063"/>
        <item m="1" x="1135"/>
        <item m="1" x="1246"/>
        <item m="1" x="1357"/>
        <item m="1" x="3106"/>
        <item m="1" x="807"/>
        <item m="1" x="4975"/>
        <item m="1" x="5029"/>
        <item m="1" x="3174"/>
        <item m="1" x="3230"/>
        <item m="1" x="2953"/>
        <item m="1" x="3325"/>
        <item m="1" x="4940"/>
        <item m="1" x="1239"/>
        <item m="1" x="1358"/>
        <item m="1" x="4453"/>
        <item m="1" x="4710"/>
        <item m="1" x="1470"/>
        <item m="1" x="5045"/>
        <item m="1" x="3107"/>
        <item m="1" x="1286"/>
        <item m="1" x="3308"/>
        <item m="1" x="1240"/>
        <item m="1" x="3108"/>
        <item m="1" x="3250"/>
        <item m="1" x="1247"/>
        <item m="1" x="4989"/>
        <item m="1" x="5030"/>
        <item m="1" x="1351"/>
        <item m="1" x="3539"/>
        <item m="1" x="5330"/>
        <item m="1" x="1721"/>
        <item m="1" x="4985"/>
        <item m="1" x="3555"/>
        <item m="1" x="4125"/>
        <item m="1" x="4115"/>
        <item m="1" x="817"/>
        <item m="1" x="4448"/>
        <item m="1" x="4449"/>
        <item m="1" x="808"/>
        <item m="1" x="1775"/>
        <item m="1" x="1310"/>
        <item m="1" x="4913"/>
        <item m="1" x="4812"/>
        <item m="1" x="1420"/>
        <item m="1" x="4696"/>
        <item m="1" x="3309"/>
        <item m="1" x="498"/>
        <item m="1" x="4107"/>
        <item m="1" x="4702"/>
        <item m="1" x="1195"/>
        <item m="1" x="3019"/>
        <item m="1" x="1352"/>
        <item m="1" x="1405"/>
        <item m="1" x="1331"/>
        <item m="1" x="4914"/>
        <item m="1" x="3186"/>
        <item m="1" x="4915"/>
        <item m="1" x="1370"/>
        <item m="1" x="4916"/>
        <item m="1" x="3181"/>
        <item m="1" x="3182"/>
        <item m="1" x="3183"/>
        <item m="1" x="1367"/>
        <item m="1" x="1368"/>
        <item m="1" x="3184"/>
        <item m="1" x="1369"/>
        <item m="1" x="3185"/>
        <item m="1" x="3069"/>
        <item m="1" x="1374"/>
        <item m="1" x="3310"/>
        <item m="1" x="828"/>
        <item m="1" x="1421"/>
        <item m="1" x="4697"/>
        <item m="1" x="1485"/>
        <item m="1" x="1133"/>
        <item m="1" x="4703"/>
        <item m="1" x="3020"/>
        <item m="1" x="3010"/>
        <item m="1" x="1206"/>
        <item m="1" x="1196"/>
        <item m="1" x="4957"/>
        <item m="1" x="3179"/>
        <item m="1" x="3180"/>
        <item m="1" x="5031"/>
        <item m="1" x="4133"/>
        <item m="1" x="2342"/>
        <item m="1" x="835"/>
        <item m="1" x="5349"/>
        <item m="1" x="3584"/>
        <item m="1" x="3109"/>
        <item m="1" x="804"/>
        <item m="1" x="805"/>
        <item m="1" x="3206"/>
        <item m="1" x="1501"/>
        <item m="1" x="4938"/>
        <item m="1" x="1424"/>
        <item m="1" x="4707"/>
        <item m="1" x="1371"/>
        <item m="1" x="5308"/>
        <item m="1" x="1316"/>
        <item m="1" x="3534"/>
        <item m="1" x="1248"/>
        <item m="1" x="4824"/>
        <item m="1" x="4819"/>
        <item m="1" x="4818"/>
        <item m="1" x="5032"/>
        <item m="1" x="2657"/>
        <item m="1" x="831"/>
        <item m="1" x="2658"/>
        <item m="1" x="4450"/>
        <item m="1" x="1496"/>
        <item m="1" x="3326"/>
        <item m="1" x="5033"/>
        <item m="1" x="1100"/>
        <item m="1" x="1471"/>
        <item m="1" x="5034"/>
        <item m="1" x="2364"/>
        <item m="1" x="4108"/>
        <item m="1" x="4949"/>
        <item m="1" x="1763"/>
        <item m="1" x="3537"/>
        <item m="1" x="1796"/>
        <item m="1" x="3563"/>
        <item m="1" x="5303"/>
        <item m="1" x="3567"/>
        <item m="1" x="3361"/>
        <item m="1" x="5106"/>
        <item m="1" x="3616"/>
        <item m="1" x="5088"/>
        <item m="1" x="1835"/>
        <item m="1" x="3554"/>
        <item m="1" x="1560"/>
        <item m="1" x="5104"/>
        <item m="1" x="1555"/>
        <item m="1" x="5099"/>
        <item m="1" x="5082"/>
        <item m="1" x="5402"/>
        <item m="1" x="5400"/>
        <item m="1" x="1867"/>
        <item m="1" x="1875"/>
        <item m="1" x="5354"/>
        <item m="1" x="3634"/>
        <item m="1" x="452"/>
        <item m="1" x="5344"/>
        <item m="1" x="5389"/>
        <item m="1" x="1863"/>
        <item m="1" x="3628"/>
        <item m="1" x="5395"/>
        <item m="1" x="1861"/>
        <item m="1" x="1859"/>
        <item m="1" x="1862"/>
        <item m="1" x="5094"/>
        <item m="1" x="3363"/>
        <item m="1" x="1565"/>
        <item m="1" x="3362"/>
        <item m="1" x="3366"/>
        <item m="1" x="2297"/>
        <item m="1" x="5105"/>
        <item m="1" x="1564"/>
        <item m="1" x="5388"/>
        <item m="1" x="3599"/>
        <item m="1" x="5084"/>
        <item m="1" x="1802"/>
        <item m="1" x="1801"/>
        <item m="1" x="5093"/>
        <item m="1" x="5373"/>
        <item m="1" x="3355"/>
        <item m="1" x="3622"/>
        <item m="1" x="1871"/>
        <item m="1" x="1839"/>
        <item m="1" x="5364"/>
        <item m="1" x="5393"/>
        <item m="1" x="3632"/>
        <item m="1" x="5382"/>
        <item m="1" x="1837"/>
        <item m="1" x="5081"/>
        <item m="1" x="5095"/>
        <item m="1" x="3364"/>
        <item m="1" x="5359"/>
        <item m="1" x="3357"/>
        <item m="1" x="1557"/>
        <item m="1" x="1559"/>
        <item m="1" x="1821"/>
        <item m="1" x="5404"/>
        <item m="1" x="5098"/>
        <item m="1" x="5103"/>
        <item m="1" x="1562"/>
        <item m="1" x="1566"/>
        <item m="1" x="3360"/>
        <item m="1" x="5102"/>
        <item m="1" x="3359"/>
        <item m="1" x="5085"/>
        <item m="1" x="3365"/>
        <item m="1" x="5348"/>
        <item m="1" x="1854"/>
        <item m="1" x="5365"/>
        <item m="1" x="5367"/>
        <item m="1" x="3367"/>
        <item m="1" x="5377"/>
        <item m="1" x="1843"/>
        <item m="1" x="3592"/>
        <item m="1" x="1800"/>
        <item m="1" x="5339"/>
        <item m="1" x="5356"/>
        <item m="1" x="1830"/>
        <item m="1" x="1840"/>
        <item m="1" x="3604"/>
        <item m="1" x="5371"/>
        <item m="1" x="1819"/>
        <item m="1" x="5385"/>
        <item m="1" x="5375"/>
        <item m="1" x="3621"/>
        <item m="1" x="5384"/>
        <item m="1" x="5369"/>
        <item m="1" x="1856"/>
        <item m="1" x="5083"/>
        <item m="1" x="5090"/>
        <item m="1" x="5091"/>
        <item m="1" x="1558"/>
        <item m="1" x="5087"/>
        <item m="1" x="5086"/>
        <item m="1" x="5092"/>
        <item m="1" x="1823"/>
        <item m="1" x="3557"/>
        <item m="1" x="3572"/>
        <item m="1" x="1848"/>
        <item m="1" x="1842"/>
        <item m="1" x="3594"/>
        <item m="1" x="1825"/>
        <item m="1" x="5346"/>
        <item m="1" x="1806"/>
        <item m="1" x="1556"/>
        <item m="1" x="5290"/>
        <item m="1" x="1804"/>
        <item m="1" x="2381"/>
        <item m="1" x="1813"/>
        <item m="1" x="3358"/>
        <item m="1" x="1809"/>
        <item m="1" x="3368"/>
        <item m="1" x="1563"/>
        <item m="1" x="1561"/>
        <item m="1" x="5101"/>
        <item m="1" x="5100"/>
        <item m="1" x="5096"/>
        <item m="1" x="5097"/>
        <item m="1" x="5089"/>
        <item m="1" x="3617"/>
        <item m="1" x="5347"/>
        <item m="1" x="3356"/>
        <item m="1" x="3067"/>
        <item m="1" x="3251"/>
        <item m="1" x="4889"/>
        <item m="1" x="1359"/>
        <item m="1" x="3252"/>
        <item m="1" x="3074"/>
        <item m="1" x="4825"/>
        <item m="1" x="1361"/>
        <item m="1" x="1472"/>
        <item m="1" x="1311"/>
        <item m="1" x="3253"/>
        <item m="1" x="4721"/>
        <item m="1" x="1473"/>
        <item m="1" x="1486"/>
        <item m="1" x="4117"/>
        <item m="1" x="4111"/>
        <item m="1" x="4991"/>
        <item m="1" x="1241"/>
        <item m="1" x="4121"/>
        <item m="1" x="2349"/>
        <item m="1" x="1396"/>
        <item m="1" x="1141"/>
        <item m="1" x="3311"/>
        <item m="1" x="3231"/>
        <item m="1" x="4718"/>
        <item m="1" x="5063"/>
        <item m="1" x="4902"/>
        <item m="1" x="3110"/>
        <item m="1" x="3111"/>
        <item m="1" x="1289"/>
        <item m="1" x="1287"/>
        <item m="1" x="1288"/>
        <item m="1" x="3531"/>
        <item m="1" x="1734"/>
        <item m="1" x="4891"/>
        <item m="1" x="4976"/>
        <item m="1" x="2934"/>
        <item m="1" x="2935"/>
        <item m="1" x="3312"/>
        <item m="1" x="3315"/>
        <item m="1" x="4101"/>
        <item m="1" x="475"/>
        <item m="1" x="4766"/>
        <item m="1" x="2846"/>
        <item m="1" x="1400"/>
        <item m="1" x="1328"/>
        <item m="1" x="4872"/>
        <item m="1" x="499"/>
        <item m="1" x="4109"/>
        <item m="1" x="3021"/>
        <item m="1" x="2925"/>
        <item m="1" x="1112"/>
        <item m="1" x="1113"/>
        <item m="1" x="3134"/>
        <item m="1" x="3277"/>
        <item m="1" x="1474"/>
        <item m="1" x="4798"/>
        <item m="1" x="3049"/>
        <item m="1" x="4799"/>
        <item m="1" x="3051"/>
        <item m="1" x="1227"/>
        <item m="1" x="3052"/>
        <item m="1" x="3053"/>
        <item m="1" x="3050"/>
        <item m="1" x="1091"/>
        <item m="1" x="1428"/>
        <item m="1" x="3260"/>
        <item m="1" x="1336"/>
        <item m="1" x="2847"/>
        <item m="1" x="2848"/>
        <item m="1" x="3226"/>
        <item m="1" x="5001"/>
        <item m="1" x="2918"/>
        <item m="1" x="3148"/>
        <item m="1" x="1332"/>
        <item m="1" x="2970"/>
        <item m="1" x="1155"/>
        <item m="1" x="4726"/>
        <item m="1" x="1751"/>
        <item m="1" x="1097"/>
        <item m="1" x="3135"/>
        <item m="1" x="3313"/>
        <item m="1" x="1439"/>
        <item m="1" x="1733"/>
        <item m="1" x="4440"/>
        <item m="1" x="4441"/>
        <item m="1" x="4874"/>
        <item m="1" x="4873"/>
        <item m="1" x="1312"/>
        <item m="1" x="2871"/>
        <item m="1" x="4651"/>
        <item m="1" x="1050"/>
        <item m="1" x="1051"/>
        <item m="1" x="2872"/>
        <item m="1" x="1052"/>
        <item m="1" x="1053"/>
        <item m="1" x="2873"/>
        <item m="1" x="4652"/>
        <item m="1" x="1054"/>
        <item m="1" x="2874"/>
        <item m="1" x="2875"/>
        <item m="1" x="4653"/>
        <item m="1" x="1055"/>
        <item m="1" x="4654"/>
        <item m="1" x="2876"/>
        <item m="1" x="4655"/>
        <item m="1" x="1056"/>
        <item m="1" x="2877"/>
        <item m="1" x="1057"/>
        <item m="1" x="2878"/>
        <item m="1" x="1058"/>
        <item m="1" x="3552"/>
        <item m="1" x="2879"/>
        <item m="1" x="1059"/>
        <item m="1" x="1060"/>
        <item m="1" x="1061"/>
        <item m="1" x="1062"/>
        <item m="1" x="4656"/>
        <item m="1" x="1063"/>
        <item m="1" x="1064"/>
        <item m="1" x="4657"/>
        <item m="1" x="1065"/>
        <item m="1" x="4658"/>
        <item m="1" x="3435"/>
        <item m="1" x="5182"/>
        <item m="1" x="1629"/>
        <item m="1" x="1066"/>
        <item m="1" x="1628"/>
        <item m="1" x="5178"/>
        <item m="1" x="5179"/>
        <item m="1" x="5181"/>
        <item m="1" x="5180"/>
        <item m="1" x="3434"/>
        <item m="1" x="5289"/>
        <item m="1" x="5288"/>
        <item m="1" x="1805"/>
        <item m="1" x="2880"/>
        <item m="1" x="4659"/>
        <item m="1" x="4660"/>
        <item m="1" x="2881"/>
        <item m="1" x="1067"/>
        <item m="1" x="972"/>
        <item m="1" x="2799"/>
        <item m="1" x="2796"/>
        <item m="1" x="971"/>
        <item m="1" x="2800"/>
        <item m="1" x="4596"/>
        <item m="1" x="2797"/>
        <item m="1" x="2798"/>
        <item m="1" x="4594"/>
        <item m="1" x="4595"/>
        <item m="1" x="973"/>
        <item m="1" x="2882"/>
        <item m="1" x="1068"/>
        <item m="1" x="2883"/>
        <item m="1" x="1069"/>
        <item m="1" x="2884"/>
        <item m="1" x="1070"/>
        <item m="1" x="1071"/>
        <item m="1" x="4661"/>
        <item m="1" x="2885"/>
        <item m="1" x="1072"/>
        <item m="1" x="2886"/>
        <item m="1" x="2887"/>
        <item m="1" x="2888"/>
        <item m="1" x="4662"/>
        <item m="1" x="2889"/>
        <item m="1" x="1073"/>
        <item m="1" x="4663"/>
        <item m="1" x="1074"/>
        <item m="1" x="4664"/>
        <item m="1" x="2890"/>
        <item m="1" x="2891"/>
        <item m="1" x="4665"/>
        <item m="1" x="4666"/>
        <item m="1" x="4667"/>
        <item m="1" x="1075"/>
        <item m="1" x="2892"/>
        <item m="1" x="1076"/>
        <item m="1" x="1077"/>
        <item m="1" x="2893"/>
        <item m="1" x="4668"/>
        <item m="1" x="4669"/>
        <item m="1" x="2894"/>
        <item m="1" x="2895"/>
        <item m="1" x="1078"/>
        <item m="1" x="5342"/>
        <item m="1" x="1811"/>
        <item m="1" x="2896"/>
        <item m="1" x="4670"/>
        <item m="1" x="1079"/>
        <item m="1" x="2897"/>
        <item m="1" x="4671"/>
        <item m="1" x="1080"/>
        <item m="1" x="2898"/>
        <item m="1" x="2899"/>
        <item m="1" x="2900"/>
        <item m="1" x="2901"/>
        <item m="1" x="1081"/>
        <item m="1" x="1082"/>
        <item m="1" x="4672"/>
        <item m="1" x="4673"/>
        <item m="1" x="4674"/>
        <item m="1" x="1083"/>
        <item m="1" x="2902"/>
        <item m="1" x="1084"/>
        <item m="1" x="1085"/>
        <item m="1" x="2903"/>
        <item m="1" x="2904"/>
        <item m="1" x="2905"/>
        <item m="1" x="2906"/>
        <item m="1" x="4675"/>
        <item m="1" x="4676"/>
        <item m="1" x="2907"/>
        <item m="1" x="2908"/>
        <item m="1" x="2909"/>
        <item m="1" x="4677"/>
        <item m="1" x="1086"/>
        <item m="1" x="1087"/>
        <item m="1" x="2910"/>
        <item m="1" x="2911"/>
        <item m="1" x="1088"/>
        <item m="1" x="1727"/>
        <item m="1" x="1089"/>
        <item m="1" x="4678"/>
        <item m="1" x="4679"/>
        <item m="1" x="4680"/>
        <item m="1" x="5208"/>
        <item m="1" x="1632"/>
        <item m="1" x="1654"/>
        <item m="1" x="2865"/>
        <item m="1" x="1043"/>
        <item m="1" x="4847"/>
        <item m="1" x="3471"/>
        <item m="1" x="1184"/>
        <item m="1" x="2993"/>
        <item m="1" x="3349"/>
        <item m="1" x="1529"/>
        <item m="1" x="1548"/>
        <item m="1" x="3472"/>
        <item m="1" x="2992"/>
        <item m="1" x="4727"/>
        <item m="1" x="1156"/>
        <item m="1" x="4728"/>
        <item m="1" x="4635"/>
        <item m="1" x="1044"/>
        <item m="1" x="2866"/>
        <item m="1" x="1045"/>
        <item m="1" x="1724"/>
        <item m="1" x="3518"/>
        <item m="1" x="1024"/>
        <item m="1" x="1712"/>
        <item m="1" x="1713"/>
        <item m="1" x="1714"/>
        <item m="1" x="1650"/>
        <item m="1" x="4636"/>
        <item m="1" x="2849"/>
        <item m="1" x="2850"/>
        <item m="1" x="5215"/>
        <item m="1" x="1033"/>
        <item m="1" x="4637"/>
        <item m="1" x="2851"/>
        <item m="1" x="3482"/>
        <item m="1" x="1655"/>
        <item m="1" x="1671"/>
        <item m="1" x="4729"/>
        <item m="1" x="2971"/>
        <item m="1" x="1186"/>
        <item m="1" x="4733"/>
        <item m="1" x="4751"/>
        <item m="1" x="4730"/>
        <item m="1" x="1160"/>
        <item m="1" x="1157"/>
        <item m="1" x="1158"/>
        <item m="1" x="1159"/>
        <item m="1" x="1662"/>
        <item m="1" x="1653"/>
        <item m="1" x="1651"/>
        <item m="1" x="1633"/>
        <item m="1" x="5211"/>
        <item m="1" x="5146"/>
        <item m="1" x="1602"/>
        <item m="1" x="1622"/>
        <item m="1" x="1601"/>
        <item m="1" x="1600"/>
        <item m="1" x="3405"/>
        <item m="1" x="3406"/>
        <item m="1" x="5167"/>
        <item m="1" x="3429"/>
        <item m="1" x="3428"/>
        <item m="1" x="5168"/>
        <item m="1" x="5169"/>
        <item m="1" x="3422"/>
        <item m="1" x="1623"/>
        <item m="1" x="3423"/>
        <item m="1" x="3424"/>
        <item m="1" x="5170"/>
        <item m="1" x="3430"/>
        <item m="1" x="5172"/>
        <item m="1" x="5173"/>
        <item m="1" x="3431"/>
        <item m="1" x="3432"/>
        <item m="1" x="1625"/>
        <item m="1" x="1624"/>
        <item m="1" x="5174"/>
        <item m="1" x="5175"/>
        <item m="1" x="3425"/>
        <item m="1" x="3426"/>
        <item m="1" x="5171"/>
        <item m="1" x="3427"/>
        <item m="1" x="1626"/>
        <item m="1" x="1627"/>
        <item m="1" x="3433"/>
        <item m="1" x="5176"/>
        <item m="1" x="5177"/>
        <item m="1" x="5149"/>
        <item m="1" x="3407"/>
        <item m="1" x="3408"/>
        <item m="1" x="5150"/>
        <item m="1" x="1603"/>
        <item m="1" x="1616"/>
        <item m="1" x="5160"/>
        <item m="1" x="3411"/>
        <item m="1" x="1604"/>
        <item m="1" x="5157"/>
        <item m="1" x="1612"/>
        <item m="1" x="5158"/>
        <item m="1" x="3418"/>
        <item m="1" x="3414"/>
        <item m="1" x="5152"/>
        <item m="1" x="1607"/>
        <item m="1" x="1605"/>
        <item m="1" x="1608"/>
        <item m="1" x="1609"/>
        <item m="1" x="3412"/>
        <item m="1" x="1611"/>
        <item m="1" x="5156"/>
        <item m="1" x="5153"/>
        <item m="1" x="1618"/>
        <item m="1" x="5164"/>
        <item m="1" x="5165"/>
        <item m="1" x="1610"/>
        <item m="1" x="3413"/>
        <item m="1" x="5155"/>
        <item m="1" x="1619"/>
        <item m="1" x="5154"/>
        <item m="1" x="3420"/>
        <item m="1" x="3421"/>
        <item m="1" x="1613"/>
        <item m="1" x="1621"/>
        <item m="1" x="3419"/>
        <item m="1" x="3417"/>
        <item m="1" x="5161"/>
        <item m="1" x="5162"/>
        <item m="1" x="1617"/>
        <item m="1" x="1615"/>
        <item m="1" x="3416"/>
        <item m="1" x="3410"/>
        <item m="1" x="5159"/>
        <item m="1" x="5151"/>
        <item m="1" x="1606"/>
        <item m="1" x="5166"/>
        <item m="1" x="1620"/>
        <item m="1" x="3415"/>
        <item m="1" x="1614"/>
        <item m="1" x="5163"/>
        <item m="1" x="3409"/>
        <item m="1" x="1647"/>
        <item m="1" x="1508"/>
        <item m="1" x="3470"/>
        <item m="1" x="3328"/>
        <item m="1" x="5079"/>
        <item m="1" x="3354"/>
        <item m="1" x="5331"/>
        <item m="1" x="1747"/>
        <item m="1" x="4731"/>
        <item m="1" x="4732"/>
        <item m="1" x="2972"/>
        <item m="1" x="2852"/>
        <item m="1" x="4638"/>
        <item m="1" x="4639"/>
        <item m="1" x="2853"/>
        <item m="1" x="4640"/>
        <item m="1" x="1046"/>
        <item m="1" x="1047"/>
        <item m="1" x="4647"/>
        <item m="1" x="3457"/>
        <item m="1" x="1774"/>
        <item m="1" x="1512"/>
        <item m="1" x="1746"/>
        <item m="1" x="1527"/>
        <item m="1" x="1520"/>
        <item m="1" x="3352"/>
        <item m="1" x="5183"/>
        <item m="1" x="5195"/>
        <item m="1" x="1772"/>
        <item m="1" x="1530"/>
        <item m="1" x="3342"/>
        <item m="1" x="5080"/>
        <item m="1" x="3465"/>
        <item m="1" x="1543"/>
        <item m="1" x="1533"/>
        <item m="1" x="1547"/>
        <item m="1" x="1551"/>
        <item m="1" x="5216"/>
        <item m="1" x="3461"/>
        <item m="1" x="3442"/>
        <item m="1" x="1672"/>
        <item m="1" x="1185"/>
        <item m="1" x="2994"/>
        <item m="1" x="3452"/>
        <item m="1" x="5210"/>
        <item m="1" x="1690"/>
        <item m="1" x="5254"/>
        <item m="1" x="5253"/>
        <item m="1" x="1691"/>
        <item m="1" x="1692"/>
        <item m="1" x="3492"/>
        <item m="1" x="5255"/>
        <item m="1" x="3493"/>
        <item m="1" x="5256"/>
        <item m="1" x="3491"/>
        <item m="1" x="5252"/>
        <item m="1" x="3494"/>
        <item m="1" x="1693"/>
        <item m="1" x="1694"/>
        <item m="1" x="3495"/>
        <item m="1" x="5257"/>
        <item m="1" x="5258"/>
        <item m="1" x="1695"/>
        <item m="1" x="3496"/>
        <item m="1" x="3497"/>
        <item m="1" x="3498"/>
        <item m="1" x="3499"/>
        <item m="1" x="1696"/>
        <item m="1" x="3473"/>
        <item m="1" x="1643"/>
        <item m="1" x="3443"/>
        <item m="1" x="5212"/>
        <item m="1" x="1034"/>
        <item m="1" x="2867"/>
        <item m="1" x="4648"/>
        <item m="1" x="1048"/>
        <item m="1" x="1656"/>
        <item m="1" x="3474"/>
        <item m="1" x="5217"/>
        <item m="1" x="5248"/>
        <item m="1" x="3330"/>
        <item m="1" x="1546"/>
        <item m="1" x="3462"/>
        <item m="1" x="1640"/>
        <item m="1" x="2973"/>
        <item m="1" x="2974"/>
        <item m="1" x="1162"/>
        <item m="1" x="1161"/>
        <item m="1" x="3453"/>
        <item m="1" x="5228"/>
        <item m="1" x="5218"/>
        <item m="1" x="1641"/>
        <item m="1" x="3454"/>
        <item m="1" x="5196"/>
        <item m="1" x="4649"/>
        <item m="1" x="4650"/>
        <item m="1" x="3466"/>
        <item m="1" x="1782"/>
        <item m="1" x="1743"/>
        <item m="1" x="1740"/>
        <item m="1" x="1783"/>
        <item m="1" x="1886"/>
        <item m="1" x="1887"/>
        <item m="1" x="5197"/>
        <item m="1" x="1745"/>
        <item m="1" x="5237"/>
        <item m="1" x="3475"/>
        <item m="1" x="3467"/>
        <item m="1" x="1729"/>
        <item m="1" x="1723"/>
        <item m="1" x="1725"/>
        <item m="1" x="1163"/>
        <item m="1" x="2995"/>
        <item m="1" x="2996"/>
        <item m="1" x="3344"/>
        <item m="1" x="1515"/>
        <item m="1" x="3444"/>
        <item m="1" x="3445"/>
        <item m="1" x="2854"/>
        <item m="1" x="2855"/>
        <item m="1" x="2856"/>
        <item m="1" x="2857"/>
        <item m="1" x="1702"/>
        <item m="1" x="1699"/>
        <item m="1" x="1701"/>
        <item m="1" x="1700"/>
        <item m="1" x="5261"/>
        <item m="1" x="5262"/>
        <item m="1" x="3502"/>
        <item m="1" x="5263"/>
        <item m="1" x="1703"/>
        <item m="1" x="3503"/>
        <item m="1" x="1704"/>
        <item m="1" x="5266"/>
        <item m="1" x="5264"/>
        <item m="1" x="5265"/>
        <item m="1" x="3504"/>
        <item m="1" x="5267"/>
        <item m="1" x="1705"/>
        <item m="1" x="5268"/>
        <item m="1" x="5269"/>
        <item m="1" x="5270"/>
        <item m="1" x="5272"/>
        <item m="1" x="1707"/>
        <item m="1" x="5271"/>
        <item m="1" x="3505"/>
        <item m="1" x="1706"/>
        <item m="1" x="1708"/>
        <item m="1" x="5273"/>
        <item m="1" x="3506"/>
        <item m="1" x="3507"/>
        <item m="1" x="1528"/>
        <item m="1" x="1521"/>
        <item m="1" x="1532"/>
        <item m="1" x="3528"/>
        <item m="1" x="3476"/>
        <item m="1" x="3455"/>
        <item m="1" x="5144"/>
        <item m="1" x="5220"/>
        <item m="1" x="418"/>
        <item m="1" x="4029"/>
        <item m="1" x="4030"/>
        <item m="1" x="421"/>
        <item m="1" x="4032"/>
        <item m="1" x="2256"/>
        <item m="1" x="4033"/>
        <item m="1" x="4034"/>
        <item m="1" x="4035"/>
        <item m="1" x="2258"/>
        <item m="1" x="4037"/>
        <item m="1" x="4038"/>
        <item m="1" x="2260"/>
        <item m="1" x="1504"/>
        <item m="1" x="1545"/>
        <item m="1" x="3329"/>
        <item m="1" x="1534"/>
        <item m="1" x="5198"/>
        <item m="1" x="3353"/>
        <item m="1" x="1550"/>
        <item m="1" x="1637"/>
        <item m="1" x="1639"/>
        <item m="1" x="5249"/>
        <item m="1" x="4641"/>
        <item m="1" x="4642"/>
        <item m="1" x="2858"/>
        <item m="1" x="2859"/>
        <item m="1" x="1035"/>
        <item m="1" x="1642"/>
        <item m="1" x="4643"/>
        <item m="1" x="4644"/>
        <item m="1" x="1036"/>
        <item m="1" x="1652"/>
        <item m="1" x="5238"/>
        <item m="1" x="1663"/>
        <item m="1" x="1664"/>
        <item m="1" x="3483"/>
        <item m="1" x="5221"/>
        <item m="1" x="3345"/>
        <item m="1" x="1514"/>
        <item m="1" x="1784"/>
        <item m="1" x="5191"/>
        <item m="1" x="5229"/>
        <item m="1" x="1665"/>
        <item m="1" x="1634"/>
        <item m="1" x="5203"/>
        <item m="1" x="3440"/>
        <item m="1" x="5071"/>
        <item m="1" x="1524"/>
        <item m="1" x="1518"/>
        <item m="1" x="3331"/>
        <item m="1" x="5239"/>
        <item m="1" x="1507"/>
        <item m="1" x="1673"/>
        <item m="1" x="5199"/>
        <item m="1" x="1553"/>
        <item m="1" x="3463"/>
        <item m="1" x="1166"/>
        <item m="1" x="2975"/>
        <item m="1" x="2976"/>
        <item m="1" x="1164"/>
        <item m="1" x="2977"/>
        <item m="1" x="1165"/>
        <item m="1" x="2978"/>
        <item m="1" x="4734"/>
        <item m="1" x="5227"/>
        <item m="1" x="3450"/>
        <item m="1" x="1037"/>
        <item m="1" x="1038"/>
        <item m="1" x="1039"/>
        <item m="1" x="5230"/>
        <item m="1" x="3446"/>
        <item m="1" x="1674"/>
        <item m="1" x="5231"/>
        <item m="1" x="3456"/>
        <item m="1" x="1599"/>
        <item m="1" x="5250"/>
        <item m="1" x="5073"/>
        <item m="1" x="5222"/>
        <item m="1" x="5072"/>
        <item m="1" x="5077"/>
        <item m="1" x="5076"/>
        <item m="1" x="1167"/>
        <item m="1" x="2979"/>
        <item m="1" x="1644"/>
        <item m="1" x="2860"/>
        <item m="1" x="3544"/>
        <item m="1" x="1598"/>
        <item m="1" x="1669"/>
        <item m="1" x="1657"/>
        <item m="1" x="1169"/>
        <item m="1" x="1170"/>
        <item m="1" x="4735"/>
        <item m="1" x="4736"/>
        <item m="1" x="2980"/>
        <item m="1" x="1168"/>
        <item m="1" x="5192"/>
        <item m="1" x="2981"/>
        <item m="1" x="2982"/>
        <item m="1" x="1635"/>
        <item m="1" x="1670"/>
        <item m="1" x="1666"/>
        <item m="1" x="1658"/>
        <item m="1" x="2983"/>
        <item m="1" x="1172"/>
        <item m="1" x="4737"/>
        <item m="1" x="1171"/>
        <item m="1" x="4738"/>
        <item m="1" x="1173"/>
        <item m="1" x="3458"/>
        <item m="1" x="5186"/>
        <item m="1" x="5276"/>
        <item m="1" x="3512"/>
        <item m="1" x="1715"/>
        <item m="1" x="3513"/>
        <item m="1" x="1716"/>
        <item m="1" x="1717"/>
        <item m="1" x="5277"/>
        <item m="1" x="1718"/>
        <item m="1" x="1719"/>
        <item m="1" x="5278"/>
        <item m="1" x="1720"/>
        <item m="1" x="5279"/>
        <item m="1" x="5240"/>
        <item m="1" x="3468"/>
        <item m="1" x="1785"/>
        <item m="1" x="3529"/>
        <item m="1" x="1174"/>
        <item m="1" x="4739"/>
        <item m="1" x="1536"/>
        <item m="1" x="1540"/>
        <item m="1" x="1787"/>
        <item m="1" x="1513"/>
        <item m="1" x="1748"/>
        <item m="1" x="1675"/>
        <item m="1" x="3477"/>
        <item m="1" x="1667"/>
        <item m="1" x="1648"/>
        <item m="1" x="1040"/>
        <item m="1" x="3438"/>
        <item m="1" x="5200"/>
        <item m="1" x="2861"/>
        <item m="1" x="2862"/>
        <item m="1" x="5213"/>
        <item m="1" x="3478"/>
        <item m="1" x="5204"/>
        <item m="1" x="3509"/>
        <item m="1" x="3479"/>
        <item m="1" x="3469"/>
        <item m="1" x="1885"/>
        <item m="1" x="2984"/>
        <item m="1" x="4740"/>
        <item m="1" x="5275"/>
        <item m="1" x="1710"/>
        <item m="1" x="1676"/>
        <item m="1" x="3510"/>
        <item m="1" x="1711"/>
        <item m="1" x="3511"/>
        <item m="1" x="3451"/>
        <item m="1" x="4741"/>
        <item m="1" x="1175"/>
        <item m="1" x="2985"/>
        <item m="1" x="1509"/>
        <item m="1" x="1522"/>
        <item m="1" x="1516"/>
        <item m="1" x="1542"/>
        <item m="1" x="3340"/>
        <item m="1" x="3350"/>
        <item m="1" x="1552"/>
        <item m="1" x="5223"/>
        <item m="1" x="5232"/>
        <item m="1" x="1677"/>
        <item m="1" x="5224"/>
        <item m="1" x="5148"/>
        <item m="1" x="5286"/>
        <item m="1" x="3530"/>
        <item m="1" x="5219"/>
        <item m="1" x="5193"/>
        <item m="1" x="4742"/>
        <item m="1" x="1176"/>
        <item m="1" x="2986"/>
        <item m="1" x="4743"/>
        <item m="1" x="2868"/>
        <item m="1" x="1049"/>
        <item m="1" x="1649"/>
        <item m="1" x="5147"/>
        <item m="1" x="5542"/>
        <item m="1" x="2255"/>
        <item m="1" x="419"/>
        <item m="1" x="423"/>
        <item m="1" x="424"/>
        <item m="1" x="5287"/>
        <item m="1" x="2252"/>
        <item m="1" x="414"/>
        <item m="1" x="416"/>
        <item m="1" x="2251"/>
        <item m="1" x="2253"/>
        <item m="1" x="412"/>
        <item m="1" x="2250"/>
        <item m="1" x="411"/>
        <item m="1" x="417"/>
        <item m="1" x="415"/>
        <item m="1" x="4026"/>
        <item m="1" x="413"/>
        <item m="1" x="4027"/>
        <item m="1" x="2248"/>
        <item m="1" x="4025"/>
        <item m="1" x="2249"/>
        <item m="1" x="1659"/>
        <item m="1" x="1549"/>
        <item m="1" x="5069"/>
        <item m="1" x="1773"/>
        <item m="1" x="3484"/>
        <item m="1" x="1041"/>
        <item m="1" x="4645"/>
        <item m="1" x="1042"/>
        <item m="1" x="4744"/>
        <item m="1" x="2987"/>
        <item m="1" x="1177"/>
        <item m="1" x="3490"/>
        <item m="1" x="5078"/>
        <item m="1" x="1645"/>
        <item m="1" x="5205"/>
        <item m="1" x="3339"/>
        <item m="1" x="3337"/>
        <item m="1" x="3526"/>
        <item m="1" x="3525"/>
        <item m="1" x="1539"/>
        <item m="1" x="1531"/>
        <item m="1" x="4848"/>
        <item m="1" x="3351"/>
        <item m="1" x="3347"/>
        <item m="1" x="5233"/>
        <item m="1" x="1506"/>
        <item m="1" x="5234"/>
        <item m="1" x="4846"/>
        <item m="1" x="1510"/>
        <item m="1" x="3338"/>
        <item m="1" x="3336"/>
        <item m="1" x="3343"/>
        <item m="1" x="3348"/>
        <item m="1" x="3559"/>
        <item m="1" x="5074"/>
        <item m="1" x="1178"/>
        <item m="1" x="4752"/>
        <item m="1" x="4753"/>
        <item m="1" x="3447"/>
        <item m="1" x="1535"/>
        <item m="1" x="3334"/>
        <item m="1" x="1180"/>
        <item m="1" x="1179"/>
        <item m="1" x="3546"/>
        <item m="1" x="1678"/>
        <item m="1" x="1679"/>
        <item m="1" x="2988"/>
        <item m="1" x="1182"/>
        <item m="1" x="1181"/>
        <item m="1" x="3485"/>
        <item m="1" x="1638"/>
        <item m="1" x="5187"/>
        <item m="1" x="5075"/>
        <item m="1" x="1505"/>
        <item m="1" x="5241"/>
        <item m="1" x="1523"/>
        <item m="1" x="1517"/>
        <item m="1" x="3346"/>
        <item m="1" x="1544"/>
        <item m="1" x="1503"/>
        <item m="1" x="3486"/>
        <item m="1" x="3459"/>
        <item m="1" x="1183"/>
        <item m="1" x="4745"/>
        <item m="1" x="4746"/>
        <item m="1" x="5225"/>
        <item m="1" x="1680"/>
        <item m="1" x="3464"/>
        <item m="1" x="5235"/>
        <item m="1" x="5226"/>
        <item m="1" x="1646"/>
        <item m="1" x="3332"/>
        <item m="1" x="1681"/>
        <item m="1" x="1525"/>
        <item m="1" x="1519"/>
        <item m="1" x="1554"/>
        <item m="1" x="5285"/>
        <item m="1" x="5070"/>
        <item m="1" x="5251"/>
        <item m="1" x="3558"/>
        <item m="1" x="1682"/>
        <item m="1" x="5242"/>
        <item m="1" x="3480"/>
        <item m="1" x="3448"/>
        <item m="1" x="1683"/>
        <item m="1" x="5145"/>
        <item m="1" x="5209"/>
        <item m="1" x="1660"/>
        <item m="1" x="5194"/>
        <item m="1" x="4747"/>
        <item m="1" x="4748"/>
        <item m="1" x="2989"/>
        <item m="1" x="3489"/>
        <item m="1" x="1786"/>
        <item m="1" x="3335"/>
        <item m="1" x="1526"/>
        <item m="1" x="1742"/>
        <item m="1" x="1541"/>
        <item m="1" x="3341"/>
        <item m="1" x="1661"/>
        <item m="1" x="3449"/>
        <item m="1" x="5201"/>
        <item m="1" x="3441"/>
        <item m="1" x="1668"/>
        <item m="1" x="1686"/>
        <item m="1" x="3488"/>
        <item m="1" x="5189"/>
        <item m="1" x="5245"/>
        <item m="1" x="1687"/>
        <item m="1" x="1688"/>
        <item m="1" x="5246"/>
        <item m="1" x="1689"/>
        <item m="1" x="5247"/>
        <item m="1" x="3545"/>
        <item m="1" x="1636"/>
        <item m="1" x="3333"/>
        <item m="1" x="1709"/>
        <item m="1" x="3508"/>
        <item m="1" x="5274"/>
        <item m="1" x="2254"/>
        <item m="1" x="4028"/>
        <item m="1" x="420"/>
        <item m="1" x="4031"/>
        <item m="1" x="4036"/>
        <item m="1" x="2257"/>
        <item m="1" x="2259"/>
        <item m="1" x="422"/>
        <item m="1" x="1728"/>
        <item m="1" x="5280"/>
        <item m="1" x="5281"/>
        <item m="1" x="5282"/>
        <item m="1" x="5243"/>
        <item m="1" x="5244"/>
        <item m="1" x="5214"/>
        <item m="1" x="2990"/>
        <item m="1" x="4749"/>
        <item m="1" x="2997"/>
        <item m="1" x="2998"/>
        <item m="1" x="5206"/>
        <item m="1" x="3460"/>
        <item m="1" x="5260"/>
        <item m="1" x="3501"/>
        <item m="1" x="1697"/>
        <item m="1" x="5259"/>
        <item m="1" x="1698"/>
        <item m="1" x="3500"/>
        <item m="1" x="1684"/>
        <item m="1" x="5236"/>
        <item m="1" x="5202"/>
        <item m="1" x="1685"/>
        <item m="1" x="3481"/>
        <item m="1" x="4646"/>
        <item m="1" x="2863"/>
        <item m="1" x="2991"/>
        <item m="1" x="4750"/>
        <item m="1" x="2869"/>
        <item m="1" x="2870"/>
        <item m="1" x="1538"/>
        <item m="1" x="2864"/>
        <item m="1" x="5207"/>
        <item m="1" x="5188"/>
        <item m="1" x="1511"/>
        <item m="1" x="1537"/>
        <item m="1" x="5190"/>
        <item m="1" x="5509"/>
        <item m="1" x="2396"/>
        <item m="1" x="5471"/>
        <item m="1" x="5489"/>
        <item m="1" x="5476"/>
        <item m="1" x="1938"/>
        <item m="1" x="1954"/>
        <item m="1" x="533"/>
        <item m="1" x="2399"/>
        <item m="1" x="4175"/>
        <item m="1" x="518"/>
        <item m="1" x="4176"/>
        <item m="1" x="514"/>
        <item m="1" x="5495"/>
        <item m="1" x="5477"/>
        <item m="1" x="5452"/>
        <item m="1" x="5453"/>
        <item m="1" x="5511"/>
        <item m="1" x="5592"/>
        <item m="1" x="5526"/>
        <item m="1" x="5591"/>
        <item m="1" x="5534"/>
        <item m="1" x="5512"/>
        <item m="1" x="5584"/>
        <item m="1" x="5613"/>
        <item m="1" x="516"/>
        <item m="1" x="5586"/>
        <item m="1" x="5491"/>
        <item m="1" x="5487"/>
        <item m="1" x="5505"/>
        <item m="1" x="5524"/>
        <item m="1" x="5504"/>
        <item m="1" x="5606"/>
        <item m="1" x="5525"/>
        <item m="1" x="5590"/>
        <item m="1" x="5608"/>
        <item m="1" x="5615"/>
        <item m="1" x="5499"/>
        <item m="1" x="5514"/>
        <item m="1" x="5503"/>
        <item m="1" x="2385"/>
        <item m="1" x="5432"/>
        <item m="1" x="5617"/>
        <item m="1" x="5431"/>
        <item m="1" x="524"/>
        <item m="1" x="5502"/>
        <item m="1" x="5429"/>
        <item m="1" x="2391"/>
        <item m="1" x="4157"/>
        <item m="1" x="5454"/>
        <item m="1" x="5444"/>
        <item m="1" x="5440"/>
        <item m="1" x="5612"/>
        <item m="1" x="4158"/>
        <item m="1" x="5428"/>
        <item m="1" x="5451"/>
        <item m="1" x="4159"/>
        <item m="1" x="2389"/>
        <item m="1" x="5433"/>
        <item m="1" x="519"/>
        <item m="1" x="4150"/>
        <item m="1" x="520"/>
        <item m="1" x="2383"/>
        <item m="1" x="5513"/>
        <item m="1" x="5530"/>
        <item m="1" x="5522"/>
        <item m="1" x="5501"/>
        <item m="1" x="2388"/>
        <item m="1" x="521"/>
        <item m="1" x="522"/>
        <item m="1" x="2387"/>
        <item m="1" x="4149"/>
        <item m="1" x="5588"/>
        <item m="1" x="5583"/>
        <item m="1" x="5527"/>
        <item m="1" x="5439"/>
        <item m="1" x="5632"/>
        <item m="1" x="5544"/>
        <item m="1" x="5560"/>
        <item m="1" x="5529"/>
        <item m="1" x="5531"/>
        <item m="1" x="5447"/>
        <item m="1" x="5616"/>
        <item m="1" x="5611"/>
        <item m="1" x="5449"/>
        <item m="1" x="5427"/>
        <item m="1" x="2384"/>
        <item m="1" x="5543"/>
        <item m="1" x="5507"/>
        <item m="1" x="5621"/>
        <item m="1" x="5539"/>
        <item m="1" x="5550"/>
        <item m="1" x="5541"/>
        <item m="1" x="5474"/>
        <item m="1" x="5618"/>
        <item m="1" x="5478"/>
        <item m="1" x="2386"/>
        <item m="1" x="2392"/>
        <item m="1" x="4148"/>
        <item m="1" x="5425"/>
        <item m="1" x="5430"/>
        <item m="1" x="2390"/>
        <item m="1" x="5533"/>
        <item m="1" x="5492"/>
        <item m="1" x="5521"/>
        <item m="1" x="5610"/>
        <item m="1" x="5523"/>
        <item m="1" x="517"/>
        <item m="1" x="5686"/>
        <item m="1" x="4152"/>
        <item m="1" x="5437"/>
        <item m="1" x="5446"/>
        <item m="1" x="4154"/>
        <item m="1" x="4155"/>
        <item m="1" x="5436"/>
        <item m="1" x="5435"/>
        <item m="1" x="5455"/>
        <item m="1" x="4151"/>
        <item m="1" x="515"/>
        <item m="1" x="5493"/>
        <item m="1" x="5426"/>
        <item m="1" x="5508"/>
        <item m="1" x="5532"/>
        <item m="1" x="5481"/>
        <item m="1" x="5614"/>
        <item m="1" x="5520"/>
        <item m="1" x="5587"/>
        <item m="1" x="5609"/>
        <item m="1" x="5540"/>
        <item m="1" x="5497"/>
        <item m="1" x="5496"/>
        <item m="1" x="5535"/>
        <item m="1" x="5537"/>
        <item m="1" x="5536"/>
        <item m="1" x="5585"/>
        <item m="1" x="5450"/>
        <item m="1" x="5473"/>
        <item m="1" x="4153"/>
        <item m="1" x="5602"/>
        <item m="1" x="5538"/>
        <item m="1" x="5546"/>
        <item m="1" x="5500"/>
        <item m="1" x="5545"/>
        <item m="1" x="5598"/>
        <item m="1" x="5605"/>
        <item m="1" x="5506"/>
        <item m="1" x="5561"/>
        <item m="1" x="5548"/>
        <item m="1" x="5688"/>
        <item m="1" x="5701"/>
        <item m="1" x="5573"/>
        <item m="1" x="5774"/>
        <item m="1" x="5777"/>
        <item m="1" x="5776"/>
        <item m="1" x="5759"/>
        <item m="1" x="5832"/>
        <item m="1" x="5831"/>
        <item m="1" x="5762"/>
        <item m="1" x="5780"/>
        <item m="1" x="5761"/>
        <item m="1" x="5765"/>
        <item m="1" x="5834"/>
        <item m="1" x="5740"/>
        <item m="1" x="5640"/>
        <item m="1" x="5571"/>
        <item m="1" x="5641"/>
        <item m="1" x="5729"/>
        <item m="1" x="5730"/>
        <item m="1" x="5731"/>
        <item m="1" x="5732"/>
        <item m="1" x="5733"/>
        <item m="1" x="5654"/>
        <item m="1" x="5655"/>
        <item m="1" x="5734"/>
        <item m="1" x="5735"/>
        <item m="1" x="5736"/>
        <item m="1" x="5737"/>
        <item m="1" x="5738"/>
        <item m="1" x="5445"/>
        <item m="1" x="5791"/>
        <item m="1" x="5589"/>
        <item m="1" x="5564"/>
        <item m="1" x="5566"/>
        <item m="1" x="5559"/>
        <item m="1" x="5558"/>
        <item m="1" x="5565"/>
        <item m="1" x="5745"/>
        <item m="1" x="5766"/>
        <item m="1" x="5787"/>
        <item m="1" x="5830"/>
        <item m="1" x="5684"/>
        <item m="1" x="5809"/>
        <item m="1" x="5815"/>
        <item m="1" x="5567"/>
        <item m="1" x="5652"/>
        <item m="1" x="5653"/>
        <item m="1" x="5637"/>
        <item m="1" x="5650"/>
        <item m="1" x="5649"/>
        <item m="1" x="5651"/>
        <item m="1" x="5619"/>
        <item m="1" x="5480"/>
        <item m="1" x="5620"/>
        <item m="1" x="5569"/>
        <item m="1" x="5819"/>
        <item m="1" x="5638"/>
        <item m="1" x="5568"/>
        <item m="1" x="5682"/>
        <item m="1" x="5704"/>
        <item m="1" x="5781"/>
        <item m="1" x="5794"/>
        <item m="1" x="5705"/>
        <item m="1" x="5696"/>
        <item m="1" x="5518"/>
        <item m="1" x="5519"/>
        <item m="1" x="5683"/>
        <item m="1" x="5677"/>
        <item m="1" x="5802"/>
        <item m="1" x="5813"/>
        <item m="1" x="5807"/>
        <item m="1" x="5752"/>
        <item m="1" x="5572"/>
        <item m="1" x="5643"/>
        <item m="1" x="5817"/>
        <item m="1" x="5801"/>
        <item m="1" x="5803"/>
        <item m="1" x="5739"/>
        <item m="1" x="5516"/>
        <item m="1" x="5515"/>
        <item m="1" x="5517"/>
        <item m="1" x="5716"/>
        <item m="1" x="5717"/>
        <item m="1" x="5718"/>
        <item m="1" x="5719"/>
        <item m="1" x="5821"/>
        <item m="1" x="5773"/>
        <item m="1" x="5747"/>
        <item m="1" x="5812"/>
        <item m="1" x="5743"/>
        <item m="1" x="5708"/>
        <item m="1" x="5709"/>
        <item m="1" x="5710"/>
        <item m="1" x="5711"/>
        <item m="1" x="5769"/>
        <item m="1" x="5707"/>
        <item m="1" x="5623"/>
        <item m="1" x="5664"/>
        <item m="1" x="5755"/>
        <item m="1" x="5639"/>
        <item m="1" x="5746"/>
        <item m="1" x="5804"/>
        <item m="1" x="5825"/>
        <item m="1" x="5779"/>
        <item m="1" x="5757"/>
        <item m="1" x="5822"/>
        <item m="1" x="5634"/>
        <item m="1" x="5824"/>
        <item m="1" x="5438"/>
        <item m="1" x="5827"/>
        <item m="1" x="5581"/>
        <item m="1" x="5635"/>
        <item m="1" x="5633"/>
        <item m="1" x="5599"/>
        <item m="1" x="5678"/>
        <item m="1" x="5789"/>
        <item m="1" x="5790"/>
        <item m="1" x="5796"/>
        <item m="1" x="5795"/>
        <item m="1" x="5687"/>
        <item m="1" x="5645"/>
        <item m="1" x="5574"/>
        <item m="1" x="5810"/>
        <item m="1" x="5712"/>
        <item m="1" x="5713"/>
        <item m="1" x="5714"/>
        <item m="1" x="5715"/>
        <item m="1" x="5644"/>
        <item m="1" x="5646"/>
        <item m="1" x="5642"/>
        <item m="1" x="5741"/>
        <item m="1" x="5742"/>
        <item m="1" x="5748"/>
        <item m="1" x="5749"/>
        <item m="1" x="5680"/>
        <item m="1" x="5681"/>
        <item m="1" x="5667"/>
        <item m="1" x="5799"/>
        <item m="1" x="5806"/>
        <item m="1" x="5811"/>
        <item m="1" x="5816"/>
        <item m="1" x="5829"/>
        <item m="1" x="5778"/>
        <item m="1" x="5666"/>
        <item m="1" x="5625"/>
        <item m="1" x="5636"/>
        <item m="1" x="5582"/>
        <item m="1" x="5697"/>
        <item m="1" x="5838"/>
        <item m="1" x="5570"/>
        <item m="1" x="5698"/>
        <item m="1" x="5724"/>
        <item m="1" x="5725"/>
        <item m="1" x="5751"/>
        <item m="1" x="5808"/>
        <item m="1" x="5700"/>
        <item m="1" x="5826"/>
        <item m="1" x="5726"/>
        <item m="1" x="5727"/>
        <item m="1" x="5728"/>
        <item m="1" x="5691"/>
        <item m="1" x="5699"/>
        <item m="1" x="5702"/>
        <item m="1" x="5703"/>
        <item m="1" x="5676"/>
        <item m="1" x="5675"/>
        <item m="1" x="5648"/>
        <item m="1" x="5647"/>
        <item m="1" x="5720"/>
        <item m="1" x="5721"/>
        <item m="1" x="5722"/>
        <item m="1" x="5723"/>
        <item m="1" x="5814"/>
        <item m="1" x="5575"/>
        <item m="1" x="5692"/>
        <item m="1" x="5694"/>
        <item m="1" x="5695"/>
        <item m="1" x="5693"/>
        <item m="1" x="5690"/>
        <item m="1" x="5784"/>
        <item m="1" x="5792"/>
        <item m="1" x="5756"/>
        <item m="1" x="5685"/>
        <item m="1" x="5744"/>
        <item m="1" x="5828"/>
        <item m="1" x="5624"/>
        <item m="1" x="5663"/>
        <item m="1" x="5770"/>
        <item m="1" x="5820"/>
        <item m="1" x="5823"/>
        <item m="1" x="5679"/>
        <item m="1" x="5631"/>
        <item m="1" x="5689"/>
        <item m="1" x="5552"/>
        <item m="1" x="5629"/>
        <item m="1" x="5627"/>
        <item m="1" x="5626"/>
        <item m="1" x="5600"/>
        <item m="1" x="5660"/>
        <item m="1" x="5750"/>
        <item m="1" x="5662"/>
        <item m="1" x="5793"/>
        <item m="1" x="5788"/>
        <item m="1" x="5836"/>
        <item m="1" x="5630"/>
        <item m="1" x="5551"/>
        <item m="1" x="5661"/>
        <item m="1" x="5783"/>
        <item m="1" x="5786"/>
        <item m="1" x="5785"/>
        <item m="1" x="5782"/>
        <item m="1" x="5754"/>
        <item m="1" x="5628"/>
        <item m="1" x="5771"/>
        <item m="1" x="5833"/>
        <item m="1" x="5672"/>
        <item m="1" x="5673"/>
        <item m="1" x="5674"/>
        <item m="1" x="5758"/>
        <item m="1" x="5760"/>
        <item m="1" x="5576"/>
        <item m="1" x="5580"/>
        <item m="1" x="5668"/>
        <item m="1" x="5594"/>
        <item m="1" x="5597"/>
        <item m="1" x="5798"/>
        <item m="1" x="5658"/>
        <item m="1" x="5593"/>
        <item m="1" x="5800"/>
        <item m="1" x="5549"/>
        <item m="1" x="5764"/>
        <item m="1" x="5669"/>
        <item m="1" x="5805"/>
        <item m="1" x="5577"/>
        <item m="1" x="5596"/>
        <item m="1" x="5670"/>
        <item m="1" x="5595"/>
        <item m="1" x="5578"/>
        <item m="1" x="5671"/>
        <item m="1" x="5607"/>
        <item m="1" x="5579"/>
        <item m="1" x="5482"/>
        <item m="1" x="5772"/>
        <item m="1" x="5763"/>
        <item m="1" x="5657"/>
        <item m="1" x="5656"/>
        <item m="1" x="5818"/>
        <item m="1" x="5797"/>
        <item m="1" x="5753"/>
        <item m="1" x="5622"/>
        <item m="1" x="5665"/>
        <item m="1" x="5775"/>
        <item m="1" x="5563"/>
        <item m="1" x="5659"/>
        <item m="1" x="5465"/>
        <item m="1" x="2407"/>
        <item m="1" x="5485"/>
        <item m="1" x="4161"/>
        <item m="1" x="5464"/>
        <item m="1" x="2406"/>
        <item m="1" x="2405"/>
        <item m="1" x="545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328">
        <item m="1" x="59"/>
        <item m="1" x="34"/>
        <item m="1" x="234"/>
        <item m="1" x="35"/>
        <item m="1" x="36"/>
        <item m="1" x="287"/>
        <item m="1" x="37"/>
        <item m="1" x="38"/>
        <item m="1" x="237"/>
        <item m="1" x="288"/>
        <item m="1" x="86"/>
        <item m="1" x="289"/>
        <item m="1" x="39"/>
        <item m="1" x="40"/>
        <item m="1" x="26"/>
        <item m="1" x="41"/>
        <item m="1" x="290"/>
        <item m="1" x="42"/>
        <item m="1" x="43"/>
        <item m="1" x="94"/>
        <item m="1" x="44"/>
        <item m="1" x="51"/>
        <item m="1" x="229"/>
        <item m="1" x="25"/>
        <item m="1" x="244"/>
        <item m="1" x="284"/>
        <item m="1" x="27"/>
        <item m="1" x="28"/>
        <item m="1" x="29"/>
        <item m="1" x="32"/>
        <item m="1" x="63"/>
        <item m="1" x="85"/>
        <item m="1" x="255"/>
        <item m="1" x="30"/>
        <item m="1" x="31"/>
        <item m="1" x="33"/>
        <item m="1" x="232"/>
        <item m="1" x="230"/>
        <item m="1" x="285"/>
        <item m="1" x="233"/>
        <item m="1" x="83"/>
        <item m="1" x="66"/>
        <item m="1" x="286"/>
        <item m="1" x="82"/>
        <item m="1" x="57"/>
        <item x="18"/>
        <item m="1" x="45"/>
        <item m="1" x="238"/>
        <item m="1" x="46"/>
        <item m="1" x="239"/>
        <item m="1" x="47"/>
        <item m="1" x="246"/>
        <item m="1" x="240"/>
        <item m="1" x="48"/>
        <item m="1" x="291"/>
        <item m="1" x="292"/>
        <item m="1" x="293"/>
        <item m="1" x="49"/>
        <item x="12"/>
        <item m="1" x="50"/>
        <item x="17"/>
        <item x="16"/>
        <item m="1" x="84"/>
        <item m="1" x="235"/>
        <item m="1" x="236"/>
        <item x="15"/>
        <item x="11"/>
        <item m="1" x="254"/>
        <item m="1" x="87"/>
        <item m="1" x="95"/>
        <item m="1" x="52"/>
        <item m="1" x="241"/>
        <item m="1" x="248"/>
        <item m="1" x="231"/>
        <item m="1" x="245"/>
        <item m="1" x="247"/>
        <item m="1" x="294"/>
        <item m="1" x="53"/>
        <item m="1" x="266"/>
        <item m="1" x="243"/>
        <item m="1" x="58"/>
        <item m="1" x="54"/>
        <item m="1" x="242"/>
        <item m="1" x="55"/>
        <item m="1" x="88"/>
        <item m="1" x="60"/>
        <item m="1" x="61"/>
        <item m="1" x="62"/>
        <item m="1" x="56"/>
        <item m="1" x="296"/>
        <item m="1" x="81"/>
        <item m="1" x="249"/>
        <item m="1" x="65"/>
        <item m="1" x="300"/>
        <item m="1" x="79"/>
        <item m="1" x="297"/>
        <item m="1" x="215"/>
        <item m="1" x="68"/>
        <item m="1" x="250"/>
        <item m="1" x="69"/>
        <item m="1" x="70"/>
        <item m="1" x="251"/>
        <item m="1" x="71"/>
        <item m="1" x="72"/>
        <item m="1" x="73"/>
        <item m="1" x="74"/>
        <item m="1" x="75"/>
        <item m="1" x="252"/>
        <item m="1" x="76"/>
        <item m="1" x="295"/>
        <item m="1" x="77"/>
        <item m="1" x="78"/>
        <item m="1" x="253"/>
        <item m="1" x="80"/>
        <item m="1" x="298"/>
        <item m="1" x="299"/>
        <item m="1" x="256"/>
        <item x="10"/>
        <item m="1" x="67"/>
        <item m="1" x="96"/>
        <item m="1" x="301"/>
        <item m="1" x="91"/>
        <item m="1" x="93"/>
        <item m="1" x="92"/>
        <item m="1" x="90"/>
        <item m="1" x="89"/>
        <item m="1" x="135"/>
        <item m="1" x="136"/>
        <item m="1" x="137"/>
        <item m="1" x="138"/>
        <item m="1" x="132"/>
        <item m="1" x="308"/>
        <item m="1" x="130"/>
        <item m="1" x="141"/>
        <item m="1" x="140"/>
        <item m="1" x="144"/>
        <item m="1" x="126"/>
        <item m="1" x="127"/>
        <item m="1" x="133"/>
        <item m="1" x="134"/>
        <item m="1" x="125"/>
        <item m="1" x="124"/>
        <item m="1" x="128"/>
        <item m="1" x="263"/>
        <item m="1" x="129"/>
        <item m="1" x="145"/>
        <item m="1" x="139"/>
        <item m="1" x="131"/>
        <item m="1" x="146"/>
        <item m="1" x="309"/>
        <item m="1" x="142"/>
        <item m="1" x="143"/>
        <item m="1" x="310"/>
        <item m="1" x="147"/>
        <item m="1" x="98"/>
        <item m="1" x="115"/>
        <item m="1" x="110"/>
        <item m="1" x="113"/>
        <item m="1" x="112"/>
        <item m="1" x="119"/>
        <item m="1" x="107"/>
        <item m="1" x="258"/>
        <item m="1" x="259"/>
        <item m="1" x="103"/>
        <item m="1" x="260"/>
        <item m="1" x="99"/>
        <item m="1" x="104"/>
        <item m="1" x="111"/>
        <item m="1" x="120"/>
        <item m="1" x="262"/>
        <item m="1" x="306"/>
        <item m="1" x="304"/>
        <item m="1" x="116"/>
        <item m="1" x="106"/>
        <item m="1" x="118"/>
        <item m="1" x="114"/>
        <item m="1" x="307"/>
        <item m="1" x="305"/>
        <item m="1" x="122"/>
        <item m="1" x="261"/>
        <item m="1" x="102"/>
        <item m="1" x="303"/>
        <item m="1" x="257"/>
        <item m="1" x="123"/>
        <item m="1" x="97"/>
        <item m="1" x="302"/>
        <item m="1" x="105"/>
        <item m="1" x="117"/>
        <item m="1" x="108"/>
        <item m="1" x="121"/>
        <item m="1" x="109"/>
        <item m="1" x="155"/>
        <item m="1" x="153"/>
        <item m="1" x="154"/>
        <item m="1" x="152"/>
        <item m="1" x="265"/>
        <item m="1" x="156"/>
        <item m="1" x="164"/>
        <item m="1" x="162"/>
        <item m="1" x="163"/>
        <item m="1" x="161"/>
        <item m="1" x="100"/>
        <item m="1" x="101"/>
        <item m="1" x="169"/>
        <item m="1" x="157"/>
        <item m="1" x="158"/>
        <item m="1" x="160"/>
        <item m="1" x="204"/>
        <item m="1" x="159"/>
        <item m="1" x="264"/>
        <item m="1" x="167"/>
        <item m="1" x="151"/>
        <item m="1" x="168"/>
        <item m="1" x="174"/>
        <item m="1" x="175"/>
        <item m="1" x="166"/>
        <item m="1" x="171"/>
        <item m="1" x="165"/>
        <item m="1" x="184"/>
        <item m="1" x="267"/>
        <item m="1" x="170"/>
        <item m="1" x="179"/>
        <item m="1" x="325"/>
        <item m="1" x="181"/>
        <item m="1" x="210"/>
        <item m="1" x="275"/>
        <item m="1" x="320"/>
        <item m="1" x="148"/>
        <item m="1" x="216"/>
        <item m="1" x="149"/>
        <item m="1" x="311"/>
        <item m="1" x="191"/>
        <item m="1" x="319"/>
        <item m="1" x="193"/>
        <item m="1" x="199"/>
        <item m="1" x="313"/>
        <item m="1" x="198"/>
        <item m="1" x="197"/>
        <item m="1" x="200"/>
        <item m="1" x="177"/>
        <item m="1" x="185"/>
        <item m="1" x="172"/>
        <item m="1" x="189"/>
        <item m="1" x="195"/>
        <item m="1" x="196"/>
        <item m="1" x="194"/>
        <item m="1" x="201"/>
        <item m="1" x="224"/>
        <item m="1" x="202"/>
        <item m="1" x="190"/>
        <item m="1" x="321"/>
        <item m="1" x="178"/>
        <item m="1" x="223"/>
        <item m="1" x="180"/>
        <item m="1" x="268"/>
        <item m="1" x="176"/>
        <item m="1" x="203"/>
        <item m="1" x="221"/>
        <item m="1" x="269"/>
        <item m="1" x="270"/>
        <item m="1" x="271"/>
        <item m="1" x="314"/>
        <item m="1" x="272"/>
        <item m="1" x="187"/>
        <item m="1" x="192"/>
        <item m="1" x="315"/>
        <item m="1" x="316"/>
        <item m="1" x="182"/>
        <item m="1" x="317"/>
        <item m="1" x="183"/>
        <item m="1" x="318"/>
        <item m="1" x="173"/>
        <item m="1" x="150"/>
        <item m="1" x="312"/>
        <item m="1" x="222"/>
        <item m="1" x="206"/>
        <item m="1" x="276"/>
        <item m="1" x="322"/>
        <item m="1" x="207"/>
        <item m="1" x="208"/>
        <item m="1" x="277"/>
        <item m="1" x="205"/>
        <item m="1" x="273"/>
        <item m="1" x="274"/>
        <item m="1" x="186"/>
        <item m="1" x="323"/>
        <item m="1" x="324"/>
        <item m="1" x="188"/>
        <item m="1" x="278"/>
        <item m="1" x="218"/>
        <item m="1" x="283"/>
        <item m="1" x="219"/>
        <item m="1" x="220"/>
        <item m="1" x="228"/>
        <item m="1" x="282"/>
        <item m="1" x="217"/>
        <item m="1" x="209"/>
        <item m="1" x="279"/>
        <item m="1" x="213"/>
        <item m="1" x="214"/>
        <item m="1" x="225"/>
        <item m="1" x="226"/>
        <item m="1" x="326"/>
        <item m="1" x="227"/>
        <item m="1" x="327"/>
        <item m="1" x="280"/>
        <item m="1" x="281"/>
        <item m="1" x="212"/>
        <item m="1" x="211"/>
        <item m="1" x="64"/>
        <item x="7"/>
        <item x="0"/>
        <item x="1"/>
        <item x="2"/>
        <item x="3"/>
        <item x="4"/>
        <item x="5"/>
        <item x="6"/>
        <item x="8"/>
        <item x="9"/>
        <item x="13"/>
        <item x="14"/>
        <item x="19"/>
        <item x="20"/>
        <item x="21"/>
        <item x="22"/>
        <item x="23"/>
        <item x="24"/>
      </items>
    </pivotField>
    <pivotField axis="axisRow" compact="0" outline="0" showAll="0" defaultSubtotal="0">
      <items count="135">
        <item x="1"/>
        <item m="1" x="115"/>
        <item m="1" x="4"/>
        <item m="1" x="5"/>
        <item x="0"/>
        <item m="1" x="96"/>
        <item m="1" x="90"/>
        <item x="3"/>
        <item m="1" x="38"/>
        <item m="1" x="43"/>
        <item m="1" x="59"/>
        <item m="1" x="132"/>
        <item m="1" x="57"/>
        <item m="1" x="44"/>
        <item m="1" x="56"/>
        <item m="1" x="45"/>
        <item m="1" x="51"/>
        <item m="1" x="95"/>
        <item m="1" x="48"/>
        <item m="1" x="91"/>
        <item m="1" x="133"/>
        <item m="1" x="89"/>
        <item m="1" x="123"/>
        <item m="1" x="46"/>
        <item m="1" x="71"/>
        <item m="1" x="134"/>
        <item m="1" x="77"/>
        <item m="1" x="47"/>
        <item m="1" x="35"/>
        <item m="1" x="49"/>
        <item m="1" x="80"/>
        <item m="1" x="50"/>
        <item m="1" x="19"/>
        <item m="1" x="88"/>
        <item m="1" x="99"/>
        <item m="1" x="29"/>
        <item m="1" x="111"/>
        <item m="1" x="124"/>
        <item m="1" x="84"/>
        <item m="1" x="69"/>
        <item m="1" x="70"/>
        <item m="1" x="32"/>
        <item m="1" x="128"/>
        <item m="1" x="40"/>
        <item m="1" x="18"/>
        <item m="1" x="97"/>
        <item m="1" x="30"/>
        <item m="1" x="109"/>
        <item m="1" x="114"/>
        <item m="1" x="22"/>
        <item m="1" x="82"/>
        <item m="1" x="42"/>
        <item m="1" x="67"/>
        <item m="1" x="78"/>
        <item m="1" x="15"/>
        <item m="1" x="7"/>
        <item m="1" x="54"/>
        <item m="1" x="105"/>
        <item m="1" x="76"/>
        <item m="1" x="118"/>
        <item m="1" x="8"/>
        <item m="1" x="62"/>
        <item m="1" x="34"/>
        <item m="1" x="107"/>
        <item m="1" x="74"/>
        <item m="1" x="60"/>
        <item m="1" x="108"/>
        <item m="1" x="100"/>
        <item m="1" x="121"/>
        <item m="1" x="94"/>
        <item m="1" x="10"/>
        <item m="1" x="130"/>
        <item m="1" x="87"/>
        <item m="1" x="41"/>
        <item m="1" x="58"/>
        <item m="1" x="92"/>
        <item m="1" x="93"/>
        <item m="1" x="21"/>
        <item m="1" x="86"/>
        <item m="1" x="23"/>
        <item m="1" x="13"/>
        <item m="1" x="64"/>
        <item m="1" x="55"/>
        <item m="1" x="127"/>
        <item m="1" x="103"/>
        <item m="1" x="73"/>
        <item m="1" x="81"/>
        <item m="1" x="24"/>
        <item m="1" x="66"/>
        <item m="1" x="39"/>
        <item m="1" x="9"/>
        <item m="1" x="6"/>
        <item m="1" x="131"/>
        <item m="1" x="119"/>
        <item m="1" x="102"/>
        <item m="1" x="52"/>
        <item m="1" x="20"/>
        <item m="1" x="11"/>
        <item m="1" x="83"/>
        <item m="1" x="63"/>
        <item m="1" x="12"/>
        <item m="1" x="110"/>
        <item m="1" x="36"/>
        <item m="1" x="117"/>
        <item m="1" x="120"/>
        <item m="1" x="26"/>
        <item m="1" x="25"/>
        <item m="1" x="53"/>
        <item m="1" x="85"/>
        <item m="1" x="75"/>
        <item m="1" x="129"/>
        <item m="1" x="113"/>
        <item m="1" x="79"/>
        <item m="1" x="126"/>
        <item m="1" x="122"/>
        <item m="1" x="106"/>
        <item m="1" x="104"/>
        <item m="1" x="101"/>
        <item m="1" x="61"/>
        <item m="1" x="68"/>
        <item m="1" x="31"/>
        <item m="1" x="125"/>
        <item m="1" x="37"/>
        <item m="1" x="98"/>
        <item m="1" x="65"/>
        <item m="1" x="112"/>
        <item m="1" x="16"/>
        <item m="1" x="33"/>
        <item m="1" x="72"/>
        <item m="1" x="27"/>
        <item m="1" x="14"/>
        <item m="1" x="28"/>
        <item m="1" x="17"/>
        <item m="1" x="116"/>
        <item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1">
        <item x="10"/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axis="axisRow" compact="0" outline="0" showAll="0" defaultSubtotal="0">
      <items count="627">
        <item x="12"/>
        <item m="1" x="451"/>
        <item m="1" x="232"/>
        <item m="1" x="234"/>
        <item m="1" x="233"/>
        <item m="1" x="320"/>
        <item m="1" x="450"/>
        <item m="1" x="144"/>
        <item m="1" x="202"/>
        <item m="1" x="281"/>
        <item m="1" x="465"/>
        <item m="1" x="307"/>
        <item m="1" x="231"/>
        <item m="1" x="434"/>
        <item m="1" x="446"/>
        <item m="1" x="235"/>
        <item m="1" x="455"/>
        <item m="1" x="492"/>
        <item m="1" x="219"/>
        <item m="1" x="236"/>
        <item m="1" x="28"/>
        <item m="1" x="240"/>
        <item m="1" x="608"/>
        <item m="1" x="224"/>
        <item m="1" x="592"/>
        <item m="1" x="325"/>
        <item m="1" x="167"/>
        <item m="1" x="454"/>
        <item m="1" x="59"/>
        <item m="1" x="278"/>
        <item m="1" x="271"/>
        <item m="1" x="273"/>
        <item m="1" x="462"/>
        <item m="1" x="221"/>
        <item m="1" x="300"/>
        <item m="1" x="169"/>
        <item m="1" x="216"/>
        <item m="1" x="576"/>
        <item m="1" x="587"/>
        <item m="1" x="295"/>
        <item m="1" x="171"/>
        <item x="14"/>
        <item m="1" x="491"/>
        <item m="1" x="334"/>
        <item m="1" x="589"/>
        <item m="1" x="294"/>
        <item m="1" x="270"/>
        <item m="1" x="360"/>
        <item m="1" x="242"/>
        <item m="1" x="241"/>
        <item m="1" x="182"/>
        <item m="1" x="460"/>
        <item m="1" x="280"/>
        <item m="1" x="243"/>
        <item m="1" x="204"/>
        <item m="1" x="188"/>
        <item m="1" x="571"/>
        <item m="1" x="620"/>
        <item m="1" x="499"/>
        <item m="1" x="470"/>
        <item m="1" x="513"/>
        <item m="1" x="180"/>
        <item m="1" x="309"/>
        <item m="1" x="184"/>
        <item m="1" x="45"/>
        <item m="1" x="487"/>
        <item m="1" x="218"/>
        <item m="1" x="559"/>
        <item m="1" x="308"/>
        <item m="1" x="463"/>
        <item m="1" x="239"/>
        <item m="1" x="283"/>
        <item m="1" x="38"/>
        <item m="1" x="42"/>
        <item m="1" x="400"/>
        <item m="1" x="225"/>
        <item m="1" x="358"/>
        <item m="1" x="353"/>
        <item m="1" x="245"/>
        <item m="1" x="471"/>
        <item m="1" x="310"/>
        <item m="1" x="622"/>
        <item m="1" x="39"/>
        <item m="1" x="397"/>
        <item m="1" x="197"/>
        <item m="1" x="514"/>
        <item m="1" x="333"/>
        <item m="1" x="354"/>
        <item m="1" x="20"/>
        <item m="1" x="324"/>
        <item m="1" x="161"/>
        <item m="1" x="475"/>
        <item m="1" x="149"/>
        <item m="1" x="253"/>
        <item m="1" x="356"/>
        <item m="1" x="208"/>
        <item m="1" x="323"/>
        <item m="1" x="195"/>
        <item m="1" x="284"/>
        <item m="1" x="162"/>
        <item m="1" x="31"/>
        <item m="1" x="430"/>
        <item m="1" x="489"/>
        <item m="1" x="512"/>
        <item m="1" x="524"/>
        <item m="1" x="33"/>
        <item m="1" x="249"/>
        <item m="1" x="359"/>
        <item m="1" x="118"/>
        <item m="1" x="357"/>
        <item m="1" x="246"/>
        <item m="1" x="326"/>
        <item m="1" x="411"/>
        <item m="1" x="227"/>
        <item m="1" x="488"/>
        <item m="1" x="368"/>
        <item m="1" x="344"/>
        <item m="1" x="192"/>
        <item m="1" x="624"/>
        <item m="1" x="301"/>
        <item m="1" x="96"/>
        <item m="1" x="193"/>
        <item m="1" x="604"/>
        <item m="1" x="445"/>
        <item m="1" x="574"/>
        <item m="1" x="43"/>
        <item m="1" x="351"/>
        <item m="1" x="30"/>
        <item m="1" x="583"/>
        <item m="1" x="147"/>
        <item x="6"/>
        <item m="1" x="485"/>
        <item m="1" x="619"/>
        <item m="1" x="57"/>
        <item m="1" x="341"/>
        <item m="1" x="478"/>
        <item m="1" x="626"/>
        <item m="1" x="56"/>
        <item m="1" x="237"/>
        <item m="1" x="495"/>
        <item m="1" x="157"/>
        <item m="1" x="480"/>
        <item m="1" x="352"/>
        <item m="1" x="282"/>
        <item m="1" x="591"/>
        <item m="1" x="52"/>
        <item m="1" x="174"/>
        <item m="1" x="228"/>
        <item m="1" x="40"/>
        <item m="1" x="50"/>
        <item m="1" x="27"/>
        <item m="1" x="409"/>
        <item m="1" x="440"/>
        <item m="1" x="119"/>
        <item m="1" x="517"/>
        <item m="1" x="525"/>
        <item m="1" x="172"/>
        <item m="1" x="139"/>
        <item m="1" x="582"/>
        <item m="1" x="426"/>
        <item m="1" x="556"/>
        <item m="1" x="613"/>
        <item m="1" x="345"/>
        <item m="1" x="319"/>
        <item m="1" x="203"/>
        <item m="1" x="607"/>
        <item m="1" x="422"/>
        <item m="1" x="46"/>
        <item m="1" x="496"/>
        <item m="1" x="266"/>
        <item m="1" x="137"/>
        <item m="1" x="265"/>
        <item m="1" x="594"/>
        <item m="1" x="21"/>
        <item m="1" x="314"/>
        <item m="1" x="564"/>
        <item m="1" x="364"/>
        <item m="1" x="54"/>
        <item m="1" x="201"/>
        <item m="1" x="247"/>
        <item m="1" x="125"/>
        <item m="1" x="468"/>
        <item m="1" x="255"/>
        <item m="1" x="515"/>
        <item m="1" x="435"/>
        <item m="1" x="229"/>
        <item m="1" x="258"/>
        <item m="1" x="138"/>
        <item m="1" x="553"/>
        <item m="1" x="58"/>
        <item m="1" x="70"/>
        <item m="1" x="546"/>
        <item m="1" x="291"/>
        <item m="1" x="277"/>
        <item m="1" x="223"/>
        <item m="1" x="108"/>
        <item m="1" x="209"/>
        <item m="1" x="200"/>
        <item m="1" x="350"/>
        <item m="1" x="252"/>
        <item m="1" x="483"/>
        <item m="1" x="615"/>
        <item m="1" x="248"/>
        <item m="1" x="388"/>
        <item m="1" x="335"/>
        <item m="1" x="322"/>
        <item m="1" x="69"/>
        <item m="1" x="177"/>
        <item m="1" x="519"/>
        <item m="1" x="187"/>
        <item m="1" x="527"/>
        <item m="1" x="312"/>
        <item m="1" x="140"/>
        <item m="1" x="272"/>
        <item m="1" x="580"/>
        <item m="1" x="545"/>
        <item m="1" x="403"/>
        <item m="1" x="196"/>
        <item m="1" x="456"/>
        <item m="1" x="286"/>
        <item m="1" x="220"/>
        <item m="1" x="274"/>
        <item m="1" x="49"/>
        <item m="1" x="554"/>
        <item m="1" x="103"/>
        <item m="1" x="584"/>
        <item m="1" x="342"/>
        <item m="1" x="106"/>
        <item m="1" x="313"/>
        <item m="1" x="473"/>
        <item m="1" x="29"/>
        <item x="17"/>
        <item m="1" x="51"/>
        <item m="1" x="116"/>
        <item m="1" x="256"/>
        <item m="1" x="268"/>
        <item x="9"/>
        <item m="1" x="392"/>
        <item m="1" x="348"/>
        <item m="1" x="262"/>
        <item m="1" x="614"/>
        <item m="1" x="432"/>
        <item m="1" x="285"/>
        <item m="1" x="35"/>
        <item m="1" x="36"/>
        <item m="1" x="321"/>
        <item m="1" x="555"/>
        <item m="1" x="37"/>
        <item m="1" x="518"/>
        <item m="1" x="190"/>
        <item m="1" x="369"/>
        <item m="1" x="363"/>
        <item m="1" x="127"/>
        <item m="1" x="78"/>
        <item m="1" x="55"/>
        <item m="1" x="124"/>
        <item m="1" x="122"/>
        <item m="1" x="296"/>
        <item m="1" x="370"/>
        <item m="1" x="377"/>
        <item m="1" x="170"/>
        <item m="1" x="317"/>
        <item m="1" x="316"/>
        <item m="1" x="541"/>
        <item m="1" x="503"/>
        <item m="1" x="570"/>
        <item m="1" x="414"/>
        <item m="1" x="549"/>
        <item m="1" x="395"/>
        <item m="1" x="504"/>
        <item m="1" x="401"/>
        <item m="1" x="331"/>
        <item m="1" x="109"/>
        <item m="1" x="616"/>
        <item m="1" x="90"/>
        <item m="1" x="88"/>
        <item m="1" x="526"/>
        <item m="1" x="617"/>
        <item m="1" x="416"/>
        <item m="1" x="86"/>
        <item m="1" x="297"/>
        <item m="1" x="385"/>
        <item m="1" x="244"/>
        <item m="1" x="292"/>
        <item m="1" x="479"/>
        <item m="1" x="581"/>
        <item m="1" x="129"/>
        <item m="1" x="24"/>
        <item m="1" x="482"/>
        <item m="1" x="81"/>
        <item m="1" x="82"/>
        <item m="1" x="391"/>
        <item m="1" x="199"/>
        <item m="1" x="166"/>
        <item m="1" x="142"/>
        <item m="1" x="217"/>
        <item m="1" x="257"/>
        <item m="1" x="338"/>
        <item m="1" x="421"/>
        <item m="1" x="104"/>
        <item m="1" x="390"/>
        <item m="1" x="141"/>
        <item m="1" x="618"/>
        <item m="1" x="105"/>
        <item m="1" x="565"/>
        <item m="1" x="226"/>
        <item m="1" x="610"/>
        <item m="1" x="389"/>
        <item m="1" x="168"/>
        <item m="1" x="136"/>
        <item m="1" x="26"/>
        <item m="1" x="484"/>
        <item m="1" x="494"/>
        <item m="1" x="153"/>
        <item m="1" x="603"/>
        <item m="1" x="71"/>
        <item m="1" x="318"/>
        <item m="1" x="457"/>
        <item m="1" x="420"/>
        <item m="1" x="407"/>
        <item m="1" x="133"/>
        <item m="1" x="548"/>
        <item m="1" x="121"/>
        <item m="1" x="120"/>
        <item m="1" x="461"/>
        <item m="1" x="146"/>
        <item m="1" x="343"/>
        <item m="1" x="609"/>
        <item m="1" x="408"/>
        <item m="1" x="500"/>
        <item m="1" x="428"/>
        <item m="1" x="311"/>
        <item m="1" x="264"/>
        <item m="1" x="588"/>
        <item m="1" x="600"/>
        <item m="1" x="398"/>
        <item m="1" x="47"/>
        <item m="1" x="329"/>
        <item m="1" x="476"/>
        <item m="1" x="126"/>
        <item m="1" x="48"/>
        <item m="1" x="601"/>
        <item m="1" x="303"/>
        <item m="1" x="254"/>
        <item m="1" x="387"/>
        <item x="10"/>
        <item m="1" x="469"/>
        <item m="1" x="361"/>
        <item m="1" x="143"/>
        <item m="1" x="65"/>
        <item m="1" x="399"/>
        <item m="1" x="427"/>
        <item m="1" x="135"/>
        <item m="1" x="163"/>
        <item m="1" x="260"/>
        <item m="1" x="521"/>
        <item m="1" x="315"/>
        <item m="1" x="382"/>
        <item m="1" x="332"/>
        <item m="1" x="413"/>
        <item m="1" x="442"/>
        <item m="1" x="212"/>
        <item m="1" x="522"/>
        <item m="1" x="551"/>
        <item m="1" x="441"/>
        <item m="1" x="443"/>
        <item m="1" x="579"/>
        <item m="1" x="22"/>
        <item m="1" x="276"/>
        <item m="1" x="178"/>
        <item m="1" x="230"/>
        <item m="1" x="452"/>
        <item m="1" x="97"/>
        <item m="1" x="250"/>
        <item m="1" x="393"/>
        <item m="1" x="327"/>
        <item m="1" x="156"/>
        <item m="1" x="510"/>
        <item m="1" x="566"/>
        <item m="1" x="259"/>
        <item m="1" x="73"/>
        <item m="1" x="279"/>
        <item m="1" x="210"/>
        <item m="1" x="593"/>
        <item m="1" x="528"/>
        <item m="1" x="538"/>
        <item m="1" x="275"/>
        <item m="1" x="508"/>
        <item m="1" x="293"/>
        <item m="1" x="623"/>
        <item m="1" x="84"/>
        <item m="1" x="550"/>
        <item m="1" x="189"/>
        <item m="1" x="477"/>
        <item m="1" x="509"/>
        <item m="1" x="53"/>
        <item m="1" x="191"/>
        <item m="1" x="154"/>
        <item m="1" x="92"/>
        <item m="1" x="32"/>
        <item m="1" x="134"/>
        <item m="1" x="552"/>
        <item m="1" x="132"/>
        <item m="1" x="25"/>
        <item m="1" x="128"/>
        <item m="1" x="287"/>
        <item m="1" x="448"/>
        <item m="1" x="83"/>
        <item m="1" x="102"/>
        <item m="1" x="569"/>
        <item m="1" x="567"/>
        <item m="1" x="130"/>
        <item x="11"/>
        <item m="1" x="194"/>
        <item m="1" x="99"/>
        <item m="1" x="261"/>
        <item m="1" x="198"/>
        <item m="1" x="511"/>
        <item m="1" x="424"/>
        <item m="1" x="431"/>
        <item m="1" x="93"/>
        <item m="1" x="507"/>
        <item m="1" x="586"/>
        <item m="1" x="98"/>
        <item m="1" x="347"/>
        <item m="1" x="62"/>
        <item m="1" x="305"/>
        <item m="1" x="386"/>
        <item m="1" x="516"/>
        <item m="1" x="402"/>
        <item m="1" x="433"/>
        <item m="1" x="486"/>
        <item m="1" x="602"/>
        <item m="1" x="152"/>
        <item m="1" x="497"/>
        <item m="1" x="114"/>
        <item m="1" x="557"/>
        <item m="1" x="523"/>
        <item m="1" x="349"/>
        <item m="1" x="251"/>
        <item m="1" x="131"/>
        <item m="1" x="611"/>
        <item m="1" x="117"/>
        <item m="1" x="481"/>
        <item m="1" x="80"/>
        <item m="1" x="540"/>
        <item m="1" x="429"/>
        <item m="1" x="621"/>
        <item m="1" x="148"/>
        <item m="1" x="544"/>
        <item m="1" x="151"/>
        <item m="1" x="366"/>
        <item m="1" x="449"/>
        <item m="1" x="85"/>
        <item m="1" x="575"/>
        <item m="1" x="437"/>
        <item x="13"/>
        <item m="1" x="100"/>
        <item m="1" x="23"/>
        <item x="4"/>
        <item m="1" x="372"/>
        <item m="1" x="181"/>
        <item m="1" x="74"/>
        <item m="1" x="41"/>
        <item m="1" x="374"/>
        <item m="1" x="542"/>
        <item m="1" x="340"/>
        <item m="1" x="590"/>
        <item m="1" x="175"/>
        <item m="1" x="101"/>
        <item m="1" x="76"/>
        <item m="1" x="115"/>
        <item m="1" x="336"/>
        <item m="1" x="561"/>
        <item m="1" x="328"/>
        <item m="1" x="447"/>
        <item m="1" x="44"/>
        <item m="1" x="367"/>
        <item m="1" x="529"/>
        <item x="16"/>
        <item m="1" x="505"/>
        <item m="1" x="501"/>
        <item m="1" x="94"/>
        <item m="1" x="150"/>
        <item m="1" x="238"/>
        <item m="1" x="371"/>
        <item m="1" x="290"/>
        <item m="1" x="577"/>
        <item m="1" x="373"/>
        <item m="1" x="61"/>
        <item m="1" x="110"/>
        <item m="1" x="111"/>
        <item m="1" x="288"/>
        <item m="1" x="302"/>
        <item m="1" x="179"/>
        <item x="7"/>
        <item m="1" x="396"/>
        <item m="1" x="164"/>
        <item m="1" x="531"/>
        <item m="1" x="339"/>
        <item m="1" x="215"/>
        <item m="1" x="362"/>
        <item m="1" x="205"/>
        <item m="1" x="267"/>
        <item m="1" x="535"/>
        <item m="1" x="562"/>
        <item m="1" x="365"/>
        <item m="1" x="490"/>
        <item m="1" x="383"/>
        <item m="1" x="269"/>
        <item m="1" x="458"/>
        <item m="1" x="605"/>
        <item m="1" x="612"/>
        <item m="1" x="547"/>
        <item m="1" x="165"/>
        <item m="1" x="498"/>
        <item m="1" x="534"/>
        <item x="19"/>
        <item m="1" x="464"/>
        <item m="1" x="560"/>
        <item x="15"/>
        <item m="1" x="379"/>
        <item m="1" x="306"/>
        <item m="1" x="95"/>
        <item m="1" x="543"/>
        <item m="1" x="155"/>
        <item x="2"/>
        <item m="1" x="67"/>
        <item m="1" x="404"/>
        <item x="3"/>
        <item m="1" x="412"/>
        <item m="1" x="474"/>
        <item m="1" x="173"/>
        <item m="1" x="63"/>
        <item m="1" x="502"/>
        <item m="1" x="376"/>
        <item m="1" x="598"/>
        <item m="1" x="606"/>
        <item m="1" x="346"/>
        <item m="1" x="160"/>
        <item m="1" x="384"/>
        <item m="1" x="298"/>
        <item m="1" x="599"/>
        <item x="18"/>
        <item m="1" x="206"/>
        <item m="1" x="415"/>
        <item m="1" x="410"/>
        <item m="1" x="91"/>
        <item m="1" x="304"/>
        <item x="5"/>
        <item m="1" x="444"/>
        <item m="1" x="158"/>
        <item m="1" x="263"/>
        <item m="1" x="472"/>
        <item m="1" x="459"/>
        <item m="1" x="75"/>
        <item m="1" x="558"/>
        <item m="1" x="64"/>
        <item m="1" x="337"/>
        <item m="1" x="207"/>
        <item m="1" x="493"/>
        <item m="1" x="406"/>
        <item m="1" x="578"/>
        <item m="1" x="423"/>
        <item m="1" x="537"/>
        <item m="1" x="417"/>
        <item m="1" x="330"/>
        <item m="1" x="381"/>
        <item m="1" x="186"/>
        <item m="1" x="159"/>
        <item m="1" x="183"/>
        <item m="1" x="185"/>
        <item m="1" x="572"/>
        <item m="1" x="112"/>
        <item m="1" x="113"/>
        <item m="1" x="68"/>
        <item m="1" x="34"/>
        <item m="1" x="176"/>
        <item m="1" x="453"/>
        <item m="1" x="597"/>
        <item m="1" x="222"/>
        <item m="1" x="299"/>
        <item m="1" x="466"/>
        <item m="1" x="568"/>
        <item m="1" x="394"/>
        <item m="1" x="425"/>
        <item m="1" x="213"/>
        <item m="1" x="419"/>
        <item m="1" x="145"/>
        <item m="1" x="89"/>
        <item m="1" x="60"/>
        <item m="1" x="375"/>
        <item m="1" x="625"/>
        <item m="1" x="436"/>
        <item m="1" x="418"/>
        <item m="1" x="533"/>
        <item m="1" x="123"/>
        <item m="1" x="87"/>
        <item m="1" x="539"/>
        <item m="1" x="380"/>
        <item m="1" x="595"/>
        <item m="1" x="72"/>
        <item x="1"/>
        <item m="1" x="211"/>
        <item m="1" x="438"/>
        <item m="1" x="405"/>
        <item m="1" x="79"/>
        <item m="1" x="536"/>
        <item m="1" x="378"/>
        <item m="1" x="439"/>
        <item m="1" x="107"/>
        <item m="1" x="585"/>
        <item m="1" x="573"/>
        <item m="1" x="214"/>
        <item m="1" x="532"/>
        <item m="1" x="467"/>
        <item m="1" x="66"/>
        <item m="1" x="355"/>
        <item m="1" x="530"/>
        <item m="1" x="520"/>
        <item m="1" x="289"/>
        <item m="1" x="596"/>
        <item m="1" x="506"/>
        <item m="1" x="563"/>
        <item m="1" x="77"/>
        <item x="8"/>
        <item x="0"/>
      </items>
    </pivotField>
    <pivotField dataField="1" compact="0" outline="0" showAll="0" defaultSubtotal="0"/>
    <pivotField axis="axisRow" compact="0" outline="0" showAll="0" defaultSubtotal="0">
      <items count="259">
        <item m="1" x="31"/>
        <item m="1" x="36"/>
        <item m="1" x="27"/>
        <item m="1" x="236"/>
        <item m="1" x="86"/>
        <item m="1" x="162"/>
        <item m="1" x="252"/>
        <item m="1" x="204"/>
        <item m="1" x="69"/>
        <item m="1" x="257"/>
        <item m="1" x="214"/>
        <item m="1" x="87"/>
        <item m="1" x="84"/>
        <item m="1" x="164"/>
        <item m="1" x="248"/>
        <item m="1" x="89"/>
        <item m="1" x="85"/>
        <item m="1" x="82"/>
        <item m="1" x="83"/>
        <item m="1" x="92"/>
        <item m="1" x="34"/>
        <item m="1" x="43"/>
        <item m="1" x="190"/>
        <item m="1" x="242"/>
        <item m="1" x="90"/>
        <item m="1" x="249"/>
        <item m="1" x="74"/>
        <item m="1" x="91"/>
        <item m="1" x="215"/>
        <item m="1" x="189"/>
        <item m="1" x="188"/>
        <item m="1" x="93"/>
        <item m="1" x="206"/>
        <item m="1" x="243"/>
        <item m="1" x="61"/>
        <item m="1" x="64"/>
        <item m="1" x="254"/>
        <item m="1" x="28"/>
        <item m="1" x="207"/>
        <item m="1" x="208"/>
        <item m="1" x="65"/>
        <item m="1" x="49"/>
        <item m="1" x="226"/>
        <item m="1" x="117"/>
        <item m="1" x="216"/>
        <item m="1" x="171"/>
        <item m="1" x="196"/>
        <item m="1" x="32"/>
        <item m="1" x="139"/>
        <item m="1" x="234"/>
        <item m="1" x="181"/>
        <item m="1" x="24"/>
        <item m="1" x="57"/>
        <item m="1" x="250"/>
        <item m="1" x="104"/>
        <item m="1" x="118"/>
        <item m="1" x="128"/>
        <item m="1" x="51"/>
        <item m="1" x="41"/>
        <item m="1" x="48"/>
        <item m="1" x="238"/>
        <item m="1" x="80"/>
        <item m="1" x="247"/>
        <item m="1" x="244"/>
        <item m="1" x="37"/>
        <item m="1" x="66"/>
        <item m="1" x="67"/>
        <item m="1" x="40"/>
        <item m="1" x="46"/>
        <item m="1" x="44"/>
        <item m="1" x="52"/>
        <item m="1" x="159"/>
        <item m="1" x="246"/>
        <item m="1" x="35"/>
        <item m="1" x="33"/>
        <item m="1" x="26"/>
        <item m="1" x="25"/>
        <item m="1" x="22"/>
        <item m="1" x="29"/>
        <item m="1" x="175"/>
        <item m="1" x="161"/>
        <item m="1" x="178"/>
        <item m="1" x="176"/>
        <item m="1" x="192"/>
        <item m="1" x="193"/>
        <item m="1" x="59"/>
        <item m="1" x="211"/>
        <item m="1" x="81"/>
        <item m="1" x="213"/>
        <item m="1" x="30"/>
        <item m="1" x="103"/>
        <item m="1" x="220"/>
        <item m="1" x="122"/>
        <item m="1" x="225"/>
        <item m="1" x="112"/>
        <item m="1" x="143"/>
        <item m="1" x="251"/>
        <item m="1" x="130"/>
        <item m="1" x="113"/>
        <item m="1" x="200"/>
        <item m="1" x="180"/>
        <item m="1" x="182"/>
        <item m="1" x="163"/>
        <item m="1" x="73"/>
        <item m="1" x="79"/>
        <item m="1" x="94"/>
        <item m="1" x="239"/>
        <item m="1" x="160"/>
        <item m="1" x="195"/>
        <item m="1" x="241"/>
        <item m="1" x="205"/>
        <item m="1" x="38"/>
        <item m="1" x="232"/>
        <item m="1" x="45"/>
        <item m="1" x="42"/>
        <item m="1" x="58"/>
        <item m="1" x="50"/>
        <item m="1" x="142"/>
        <item m="1" x="141"/>
        <item m="1" x="209"/>
        <item m="1" x="203"/>
        <item m="1" x="77"/>
        <item m="1" x="212"/>
        <item m="1" x="166"/>
        <item m="1" x="183"/>
        <item m="1" x="97"/>
        <item m="1" x="110"/>
        <item m="1" x="75"/>
        <item m="1" x="98"/>
        <item m="1" x="78"/>
        <item m="1" x="219"/>
        <item m="1" x="170"/>
        <item m="1" x="174"/>
        <item m="1" x="256"/>
        <item m="1" x="102"/>
        <item m="1" x="179"/>
        <item m="1" x="253"/>
        <item m="1" x="158"/>
        <item m="1" x="126"/>
        <item m="1" x="240"/>
        <item m="1" x="198"/>
        <item m="1" x="155"/>
        <item m="1" x="157"/>
        <item m="1" x="153"/>
        <item m="1" x="152"/>
        <item m="1" x="105"/>
        <item m="1" x="221"/>
        <item m="1" x="114"/>
        <item m="1" x="223"/>
        <item m="1" x="120"/>
        <item m="1" x="121"/>
        <item m="1" x="115"/>
        <item m="1" x="119"/>
        <item m="1" x="131"/>
        <item m="1" x="132"/>
        <item m="1" x="133"/>
        <item m="1" x="134"/>
        <item m="1" x="111"/>
        <item m="1" x="107"/>
        <item m="1" x="137"/>
        <item m="1" x="149"/>
        <item m="1" x="148"/>
        <item m="1" x="146"/>
        <item m="1" x="231"/>
        <item m="1" x="147"/>
        <item m="1" x="150"/>
        <item m="1" x="233"/>
        <item m="1" x="135"/>
        <item m="1" x="138"/>
        <item m="1" x="136"/>
        <item m="1" x="106"/>
        <item m="1" x="123"/>
        <item m="1" x="125"/>
        <item m="1" x="154"/>
        <item m="1" x="108"/>
        <item m="1" x="127"/>
        <item m="1" x="124"/>
        <item m="1" x="54"/>
        <item m="1" x="144"/>
        <item m="1" x="167"/>
        <item m="1" x="168"/>
        <item m="1" x="96"/>
        <item m="1" x="187"/>
        <item m="1" x="237"/>
        <item m="1" x="47"/>
        <item m="1" x="60"/>
        <item m="1" x="177"/>
        <item m="1" x="53"/>
        <item m="1" x="217"/>
        <item m="1" x="39"/>
        <item m="1" x="129"/>
        <item m="1" x="70"/>
        <item m="1" x="156"/>
        <item m="1" x="62"/>
        <item m="1" x="218"/>
        <item m="1" x="145"/>
        <item m="1" x="255"/>
        <item m="1" x="184"/>
        <item m="1" x="172"/>
        <item m="1" x="99"/>
        <item m="1" x="201"/>
        <item m="1" x="169"/>
        <item m="1" x="165"/>
        <item m="1" x="100"/>
        <item m="1" x="235"/>
        <item m="1" x="191"/>
        <item m="1" x="55"/>
        <item m="1" x="173"/>
        <item m="1" x="230"/>
        <item m="1" x="63"/>
        <item m="1" x="101"/>
        <item m="1" x="228"/>
        <item m="1" x="229"/>
        <item m="1" x="71"/>
        <item m="1" x="197"/>
        <item m="1" x="210"/>
        <item m="1" x="222"/>
        <item m="1" x="151"/>
        <item m="1" x="23"/>
        <item m="1" x="194"/>
        <item m="1" x="186"/>
        <item m="1" x="109"/>
        <item m="1" x="116"/>
        <item m="1" x="224"/>
        <item m="1" x="227"/>
        <item m="1" x="202"/>
        <item m="1" x="185"/>
        <item m="1" x="56"/>
        <item m="1" x="76"/>
        <item m="1" x="199"/>
        <item m="1" x="72"/>
        <item m="1" x="258"/>
        <item m="1" x="140"/>
        <item m="1" x="88"/>
        <item m="1" x="95"/>
        <item m="1" x="68"/>
        <item m="1" x="245"/>
        <item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</pivotFields>
  <rowFields count="7">
    <field x="4"/>
    <field x="5"/>
    <field x="0"/>
    <field x="1"/>
    <field x="17"/>
    <field x="14"/>
    <field x="15"/>
  </rowFields>
  <rowItems count="51">
    <i>
      <x v="45"/>
      <x v="4"/>
      <x v="6242"/>
      <x v="5828"/>
      <x v="240"/>
      <x v="14"/>
      <x v="479"/>
    </i>
    <i r="2">
      <x v="6243"/>
      <x v="5829"/>
      <x v="238"/>
      <x v="1"/>
      <x v="626"/>
    </i>
    <i r="2">
      <x v="6244"/>
      <x v="5830"/>
      <x v="240"/>
      <x v="3"/>
      <x v="231"/>
    </i>
    <i>
      <x v="58"/>
      <x v="4"/>
      <x v="6226"/>
      <x v="5812"/>
      <x v="242"/>
      <x/>
      <x/>
    </i>
    <i r="2">
      <x v="6227"/>
      <x v="5813"/>
      <x v="242"/>
      <x/>
      <x/>
    </i>
    <i r="2">
      <x v="6228"/>
      <x v="5814"/>
      <x v="242"/>
      <x/>
      <x/>
    </i>
    <i r="2">
      <x v="6229"/>
      <x v="5815"/>
      <x v="249"/>
      <x v="11"/>
      <x v="549"/>
    </i>
    <i>
      <x v="60"/>
      <x v="4"/>
      <x v="6241"/>
      <x v="5827"/>
      <x v="241"/>
      <x v="1"/>
      <x v="626"/>
    </i>
    <i>
      <x v="61"/>
      <x v="4"/>
      <x v="6239"/>
      <x v="5825"/>
      <x v="240"/>
      <x v="14"/>
      <x v="520"/>
    </i>
    <i r="2">
      <x v="6240"/>
      <x v="5826"/>
      <x v="241"/>
      <x v="1"/>
      <x v="626"/>
    </i>
    <i>
      <x v="65"/>
      <x v="4"/>
      <x v="6238"/>
      <x v="5824"/>
      <x v="241"/>
      <x v="1"/>
      <x v="626"/>
    </i>
    <i>
      <x v="66"/>
      <x v="4"/>
      <x v="6220"/>
      <x v="5806"/>
      <x v="240"/>
      <x v="4"/>
      <x v="236"/>
    </i>
    <i r="2">
      <x v="6221"/>
      <x v="5807"/>
      <x v="240"/>
      <x v="10"/>
      <x v="345"/>
    </i>
    <i r="2">
      <x v="6222"/>
      <x v="5808"/>
      <x v="241"/>
      <x v="1"/>
      <x v="626"/>
    </i>
    <i r="2">
      <x v="6223"/>
      <x v="5809"/>
      <x v="241"/>
      <x v="1"/>
      <x v="626"/>
    </i>
    <i r="2">
      <x v="6224"/>
      <x v="5810"/>
      <x v="241"/>
      <x v="1"/>
      <x v="626"/>
    </i>
    <i>
      <x v="117"/>
      <x v="4"/>
      <x v="6218"/>
      <x v="5804"/>
      <x v="238"/>
      <x v="1"/>
      <x v="626"/>
    </i>
    <i r="2">
      <x v="6219"/>
      <x v="5805"/>
      <x v="238"/>
      <x v="1"/>
      <x v="626"/>
    </i>
    <i>
      <x v="310"/>
      <x v="134"/>
      <x v="6213"/>
      <x v="5799"/>
      <x v="245"/>
      <x v="1"/>
      <x v="626"/>
    </i>
    <i r="2">
      <x v="6254"/>
      <x v="5840"/>
      <x v="237"/>
      <x v="1"/>
      <x v="626"/>
    </i>
    <i>
      <x v="311"/>
      <x v="4"/>
      <x v="6204"/>
      <x v="5790"/>
      <x v="238"/>
      <x v="1"/>
      <x v="626"/>
    </i>
    <i>
      <x v="312"/>
      <x v="4"/>
      <x v="6205"/>
      <x v="5791"/>
      <x v="239"/>
      <x v="2"/>
      <x v="602"/>
    </i>
    <i>
      <x v="313"/>
      <x v="4"/>
      <x v="6206"/>
      <x v="5792"/>
      <x v="240"/>
      <x v="3"/>
      <x v="526"/>
    </i>
    <i>
      <x v="314"/>
      <x v="4"/>
      <x v="6207"/>
      <x v="5793"/>
      <x v="240"/>
      <x v="4"/>
      <x v="529"/>
    </i>
    <i>
      <x v="315"/>
      <x v="4"/>
      <x v="6208"/>
      <x v="5794"/>
      <x v="241"/>
      <x v="1"/>
      <x v="626"/>
    </i>
    <i r="2">
      <x v="6225"/>
      <x v="5811"/>
      <x v="240"/>
      <x v="10"/>
      <x v="412"/>
    </i>
    <i>
      <x v="316"/>
      <x v="4"/>
      <x v="6209"/>
      <x v="5795"/>
      <x v="242"/>
      <x v="1"/>
      <x v="626"/>
    </i>
    <i>
      <x v="317"/>
      <x/>
      <x v="6211"/>
      <x v="5797"/>
      <x v="244"/>
      <x v="6"/>
      <x v="549"/>
    </i>
    <i r="2">
      <x v="6212"/>
      <x v="5798"/>
      <x v="243"/>
      <x v="5"/>
      <x v="459"/>
    </i>
    <i r="1">
      <x v="4"/>
      <x v="6210"/>
      <x v="5796"/>
      <x v="243"/>
      <x v="5"/>
      <x v="459"/>
    </i>
    <i>
      <x v="318"/>
      <x v="4"/>
      <x v="6214"/>
      <x v="5800"/>
      <x v="240"/>
      <x v="4"/>
      <x v="130"/>
    </i>
    <i r="2">
      <x v="6215"/>
      <x v="5801"/>
      <x v="246"/>
      <x v="7"/>
      <x v="495"/>
    </i>
    <i>
      <x v="319"/>
      <x/>
      <x v="6217"/>
      <x v="5803"/>
      <x v="248"/>
      <x v="9"/>
      <x v="549"/>
    </i>
    <i r="1">
      <x v="4"/>
      <x v="6216"/>
      <x v="5802"/>
      <x v="247"/>
      <x v="8"/>
      <x v="625"/>
    </i>
    <i>
      <x v="320"/>
      <x v="4"/>
      <x v="6230"/>
      <x v="5816"/>
      <x v="242"/>
      <x/>
      <x/>
    </i>
    <i r="2">
      <x v="6231"/>
      <x v="5817"/>
      <x v="250"/>
      <x v="12"/>
      <x v="456"/>
    </i>
    <i r="2">
      <x v="6232"/>
      <x v="5818"/>
      <x v="242"/>
      <x/>
      <x/>
    </i>
    <i>
      <x v="321"/>
      <x v="4"/>
      <x v="6233"/>
      <x v="5819"/>
      <x v="250"/>
      <x v="12"/>
      <x v="41"/>
    </i>
    <i r="2">
      <x v="6234"/>
      <x v="5820"/>
      <x v="250"/>
      <x v="12"/>
      <x v="41"/>
    </i>
    <i r="2">
      <x v="6235"/>
      <x v="5821"/>
      <x v="251"/>
      <x v="13"/>
      <x v="625"/>
    </i>
    <i r="2">
      <x v="6236"/>
      <x v="5822"/>
      <x v="242"/>
      <x/>
      <x/>
    </i>
    <i r="2">
      <x v="6237"/>
      <x v="5823"/>
      <x v="242"/>
      <x/>
      <x/>
    </i>
    <i>
      <x v="322"/>
      <x/>
      <x v="6246"/>
      <x v="5832"/>
      <x v="253"/>
      <x v="16"/>
      <x v="625"/>
    </i>
    <i r="2">
      <x v="6247"/>
      <x v="5833"/>
      <x v="254"/>
      <x v="1"/>
      <x v="626"/>
    </i>
    <i r="1">
      <x v="4"/>
      <x v="6245"/>
      <x v="5831"/>
      <x v="252"/>
      <x v="15"/>
      <x v="625"/>
    </i>
    <i>
      <x v="323"/>
      <x/>
      <x v="6248"/>
      <x v="5834"/>
      <x v="238"/>
      <x v="1"/>
      <x v="626"/>
    </i>
    <i>
      <x v="324"/>
      <x v="4"/>
      <x v="6249"/>
      <x v="5835"/>
      <x v="255"/>
      <x v="17"/>
      <x v="625"/>
    </i>
    <i>
      <x v="325"/>
      <x v="4"/>
      <x v="6250"/>
      <x v="5836"/>
      <x v="256"/>
      <x v="18"/>
      <x v="625"/>
    </i>
    <i>
      <x v="326"/>
      <x v="7"/>
      <x v="6251"/>
      <x v="5837"/>
      <x v="257"/>
      <x v="19"/>
      <x v="543"/>
    </i>
    <i>
      <x v="327"/>
      <x v="4"/>
      <x v="6252"/>
      <x v="5838"/>
      <x v="258"/>
      <x v="20"/>
      <x v="517"/>
    </i>
    <i r="2">
      <x v="6253"/>
      <x v="5839"/>
      <x v="258"/>
      <x v="20"/>
      <x v="517"/>
    </i>
  </rowItems>
  <colItems count="1">
    <i/>
  </colItems>
  <dataFields count="1">
    <dataField name="Sum of IDTTotalECC" fld="16" baseField="40" baseItem="529" numFmtId="168"/>
  </dataFields>
  <formats count="262">
    <format dxfId="1875">
      <pivotArea field="15" type="button" dataOnly="0" labelOnly="1" outline="0" axis="axisRow" fieldPosition="6"/>
    </format>
    <format dxfId="1874">
      <pivotArea outline="0" collapsedLevelsAreSubtotals="1" fieldPosition="0"/>
    </format>
    <format dxfId="1873">
      <pivotArea field="15" type="button" dataOnly="0" labelOnly="1" outline="0" axis="axisRow" fieldPosition="6"/>
    </format>
    <format dxfId="1872">
      <pivotArea dataOnly="0" labelOnly="1" outline="0" fieldPosition="0">
        <references count="2">
          <reference field="14" count="1" selected="0">
            <x v="0"/>
          </reference>
          <reference field="15" count="1">
            <x v="0"/>
          </reference>
        </references>
      </pivotArea>
    </format>
    <format dxfId="1871">
      <pivotArea dataOnly="0" labelOnly="1" outline="0" fieldPosition="0">
        <references count="2">
          <reference field="14" count="1" selected="0">
            <x v="1"/>
          </reference>
          <reference field="15" count="1">
            <x v="626"/>
          </reference>
        </references>
      </pivotArea>
    </format>
    <format dxfId="1870">
      <pivotArea field="15" type="button" dataOnly="0" labelOnly="1" outline="0" axis="axisRow" fieldPosition="6"/>
    </format>
    <format dxfId="1869">
      <pivotArea dataOnly="0" labelOnly="1" outline="0" fieldPosition="0">
        <references count="2">
          <reference field="14" count="1" selected="0">
            <x v="0"/>
          </reference>
          <reference field="15" count="1">
            <x v="0"/>
          </reference>
        </references>
      </pivotArea>
    </format>
    <format dxfId="1868">
      <pivotArea dataOnly="0" labelOnly="1" outline="0" fieldPosition="0">
        <references count="2">
          <reference field="14" count="1" selected="0">
            <x v="1"/>
          </reference>
          <reference field="15" count="1">
            <x v="626"/>
          </reference>
        </references>
      </pivotArea>
    </format>
    <format dxfId="1867">
      <pivotArea field="15" type="button" dataOnly="0" labelOnly="1" outline="0" axis="axisRow" fieldPosition="6"/>
    </format>
    <format dxfId="1866">
      <pivotArea dataOnly="0" labelOnly="1" outline="0" fieldPosition="0">
        <references count="2">
          <reference field="14" count="1" selected="0">
            <x v="0"/>
          </reference>
          <reference field="15" count="1">
            <x v="0"/>
          </reference>
        </references>
      </pivotArea>
    </format>
    <format dxfId="1865">
      <pivotArea dataOnly="0" labelOnly="1" outline="0" fieldPosition="0">
        <references count="2">
          <reference field="14" count="1" selected="0">
            <x v="1"/>
          </reference>
          <reference field="15" count="1">
            <x v="626"/>
          </reference>
        </references>
      </pivotArea>
    </format>
    <format dxfId="1864">
      <pivotArea field="14" type="button" dataOnly="0" labelOnly="1" outline="0" axis="axisRow" fieldPosition="5"/>
    </format>
    <format dxfId="1863">
      <pivotArea dataOnly="0" labelOnly="1" outline="0" fieldPosition="0">
        <references count="1">
          <reference field="14" count="1">
            <x v="0"/>
          </reference>
        </references>
      </pivotArea>
    </format>
    <format dxfId="1862">
      <pivotArea dataOnly="0" labelOnly="1" outline="0" fieldPosition="0">
        <references count="1">
          <reference field="14" count="1">
            <x v="1"/>
          </reference>
        </references>
      </pivotArea>
    </format>
    <format dxfId="1861">
      <pivotArea field="15" type="button" dataOnly="0" labelOnly="1" outline="0" axis="axisRow" fieldPosition="6"/>
    </format>
    <format dxfId="1860">
      <pivotArea dataOnly="0" labelOnly="1" outline="0" fieldPosition="0">
        <references count="2">
          <reference field="14" count="1" selected="0">
            <x v="0"/>
          </reference>
          <reference field="15" count="1">
            <x v="0"/>
          </reference>
        </references>
      </pivotArea>
    </format>
    <format dxfId="1859">
      <pivotArea dataOnly="0" labelOnly="1" outline="0" fieldPosition="0">
        <references count="2">
          <reference field="14" count="1" selected="0">
            <x v="1"/>
          </reference>
          <reference field="15" count="1">
            <x v="626"/>
          </reference>
        </references>
      </pivotArea>
    </format>
    <format dxfId="1858">
      <pivotArea field="5" type="button" dataOnly="0" labelOnly="1" outline="0" axis="axisRow" fieldPosition="1"/>
    </format>
    <format dxfId="1857">
      <pivotArea dataOnly="0" labelOnly="1" outline="0" fieldPosition="0">
        <references count="5">
          <reference field="0" count="1" selected="0">
            <x v="68"/>
          </reference>
          <reference field="1" count="1" selected="0">
            <x v="55"/>
          </reference>
          <reference field="5" count="1">
            <x v="4"/>
          </reference>
          <reference field="14" count="1" selected="0">
            <x v="0"/>
          </reference>
          <reference field="15" count="1" selected="0">
            <x v="0"/>
          </reference>
        </references>
      </pivotArea>
    </format>
    <format dxfId="1856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447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55">
      <pivotArea dataOnly="0" labelOnly="1" outline="0" fieldPosition="0">
        <references count="5">
          <reference field="0" count="1" selected="0">
            <x v="31"/>
          </reference>
          <reference field="1" count="1" selected="0">
            <x v="512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54">
      <pivotArea dataOnly="0" labelOnly="1" outline="0" fieldPosition="0">
        <references count="5">
          <reference field="0" count="1" selected="0">
            <x v="32"/>
          </reference>
          <reference field="1" count="1" selected="0">
            <x v="350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53">
      <pivotArea dataOnly="0" labelOnly="1" outline="0" fieldPosition="0">
        <references count="5">
          <reference field="0" count="1" selected="0">
            <x v="42"/>
          </reference>
          <reference field="1" count="1" selected="0">
            <x v="550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52">
      <pivotArea dataOnly="0" labelOnly="1" outline="0" fieldPosition="0">
        <references count="5">
          <reference field="0" count="1" selected="0">
            <x v="46"/>
          </reference>
          <reference field="1" count="1" selected="0">
            <x v="445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51">
      <pivotArea dataOnly="0" labelOnly="1" outline="0" fieldPosition="0">
        <references count="5">
          <reference field="0" count="1" selected="0">
            <x v="120"/>
          </reference>
          <reference field="1" count="1" selected="0">
            <x v="691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50">
      <pivotArea dataOnly="0" labelOnly="1" outline="0" fieldPosition="0">
        <references count="5">
          <reference field="0" count="1" selected="0">
            <x v="122"/>
          </reference>
          <reference field="1" count="1" selected="0">
            <x v="688"/>
          </reference>
          <reference field="5" count="1">
            <x v="0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49">
      <pivotArea dataOnly="0" labelOnly="1" outline="0" fieldPosition="0">
        <references count="5">
          <reference field="0" count="1" selected="0">
            <x v="145"/>
          </reference>
          <reference field="1" count="1" selected="0">
            <x v="346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48">
      <pivotArea dataOnly="0" labelOnly="1" outline="0" fieldPosition="0">
        <references count="5">
          <reference field="0" count="1" selected="0">
            <x v="159"/>
          </reference>
          <reference field="1" count="1" selected="0">
            <x v="321"/>
          </reference>
          <reference field="5" count="1">
            <x v="0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47">
      <pivotArea dataOnly="0" labelOnly="1" outline="0" fieldPosition="0">
        <references count="5">
          <reference field="0" count="1" selected="0">
            <x v="173"/>
          </reference>
          <reference field="1" count="1" selected="0">
            <x v="569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46">
      <pivotArea dataOnly="0" labelOnly="1" outline="0" fieldPosition="0">
        <references count="5">
          <reference field="0" count="1" selected="0">
            <x v="276"/>
          </reference>
          <reference field="1" count="1" selected="0">
            <x v="766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45">
      <pivotArea dataOnly="0" labelOnly="1" outline="0" fieldPosition="0">
        <references count="5">
          <reference field="0" count="1" selected="0">
            <x v="277"/>
          </reference>
          <reference field="1" count="1" selected="0">
            <x v="351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44">
      <pivotArea dataOnly="0" labelOnly="1" outline="0" fieldPosition="0">
        <references count="5">
          <reference field="0" count="1" selected="0">
            <x v="473"/>
          </reference>
          <reference field="1" count="1" selected="0">
            <x v="633"/>
          </reference>
          <reference field="5" count="1">
            <x v="0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43">
      <pivotArea dataOnly="0" labelOnly="1" outline="0" fieldPosition="0">
        <references count="5">
          <reference field="0" count="1" selected="0">
            <x v="492"/>
          </reference>
          <reference field="1" count="1" selected="0">
            <x v="707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42">
      <pivotArea dataOnly="0" labelOnly="1" outline="0" fieldPosition="0">
        <references count="5">
          <reference field="0" count="1" selected="0">
            <x v="509"/>
          </reference>
          <reference field="1" count="1" selected="0">
            <x v="352"/>
          </reference>
          <reference field="5" count="1">
            <x v="7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41">
      <pivotArea dataOnly="0" labelOnly="1" outline="0" fieldPosition="0">
        <references count="5">
          <reference field="0" count="1" selected="0">
            <x v="510"/>
          </reference>
          <reference field="1" count="1" selected="0">
            <x v="667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40">
      <pivotArea dataOnly="0" labelOnly="1" outline="0" fieldPosition="0">
        <references count="5">
          <reference field="0" count="1" selected="0">
            <x v="749"/>
          </reference>
          <reference field="1" count="1" selected="0">
            <x v="2470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39">
      <pivotArea dataOnly="0" labelOnly="1" outline="0" fieldPosition="0">
        <references count="5">
          <reference field="0" count="1" selected="0">
            <x v="776"/>
          </reference>
          <reference field="1" count="1" selected="0">
            <x v="2088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38">
      <pivotArea dataOnly="0" labelOnly="1" outline="0" fieldPosition="0">
        <references count="5">
          <reference field="0" count="1" selected="0">
            <x v="777"/>
          </reference>
          <reference field="1" count="1" selected="0">
            <x v="2094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37">
      <pivotArea dataOnly="0" labelOnly="1" outline="0" fieldPosition="0">
        <references count="5">
          <reference field="0" count="1" selected="0">
            <x v="779"/>
          </reference>
          <reference field="1" count="1" selected="0">
            <x v="2096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36">
      <pivotArea dataOnly="0" labelOnly="1" outline="0" fieldPosition="0">
        <references count="5">
          <reference field="0" count="1" selected="0">
            <x v="780"/>
          </reference>
          <reference field="1" count="1" selected="0">
            <x v="2097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35">
      <pivotArea dataOnly="0" labelOnly="1" outline="0" fieldPosition="0">
        <references count="5">
          <reference field="0" count="1" selected="0">
            <x v="784"/>
          </reference>
          <reference field="1" count="1" selected="0">
            <x v="2140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34">
      <pivotArea dataOnly="0" labelOnly="1" outline="0" fieldPosition="0">
        <references count="5">
          <reference field="0" count="1" selected="0">
            <x v="789"/>
          </reference>
          <reference field="1" count="1" selected="0">
            <x v="2156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33">
      <pivotArea dataOnly="0" labelOnly="1" outline="0" fieldPosition="0">
        <references count="5">
          <reference field="0" count="1" selected="0">
            <x v="796"/>
          </reference>
          <reference field="1" count="1" selected="0">
            <x v="2231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32">
      <pivotArea dataOnly="0" labelOnly="1" outline="0" fieldPosition="0">
        <references count="5">
          <reference field="0" count="1" selected="0">
            <x v="797"/>
          </reference>
          <reference field="1" count="1" selected="0">
            <x v="2241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31">
      <pivotArea dataOnly="0" labelOnly="1" outline="0" fieldPosition="0">
        <references count="5">
          <reference field="0" count="1" selected="0">
            <x v="798"/>
          </reference>
          <reference field="1" count="1" selected="0">
            <x v="2244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30">
      <pivotArea dataOnly="0" labelOnly="1" outline="0" fieldPosition="0">
        <references count="5">
          <reference field="0" count="1" selected="0">
            <x v="799"/>
          </reference>
          <reference field="1" count="1" selected="0">
            <x v="2244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29">
      <pivotArea dataOnly="0" labelOnly="1" outline="0" fieldPosition="0">
        <references count="5">
          <reference field="0" count="1" selected="0">
            <x v="951"/>
          </reference>
          <reference field="1" count="1" selected="0">
            <x v="2173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28">
      <pivotArea dataOnly="0" labelOnly="1" outline="0" fieldPosition="0">
        <references count="5">
          <reference field="0" count="1" selected="0">
            <x v="952"/>
          </reference>
          <reference field="1" count="1" selected="0">
            <x v="2204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27">
      <pivotArea dataOnly="0" labelOnly="1" outline="0" fieldPosition="0">
        <references count="5">
          <reference field="0" count="1" selected="0">
            <x v="1028"/>
          </reference>
          <reference field="1" count="1" selected="0">
            <x v="2319"/>
          </reference>
          <reference field="5" count="1">
            <x v="3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26">
      <pivotArea dataOnly="0" labelOnly="1" outline="0" fieldPosition="0">
        <references count="5">
          <reference field="0" count="1" selected="0">
            <x v="1030"/>
          </reference>
          <reference field="1" count="1" selected="0">
            <x v="2509"/>
          </reference>
          <reference field="5" count="1">
            <x v="0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25">
      <pivotArea dataOnly="0" labelOnly="1" outline="0" fieldPosition="0">
        <references count="5">
          <reference field="0" count="1" selected="0">
            <x v="1036"/>
          </reference>
          <reference field="1" count="1" selected="0">
            <x v="2566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24">
      <pivotArea dataOnly="0" labelOnly="1" outline="0" fieldPosition="0">
        <references count="5">
          <reference field="0" count="1" selected="0">
            <x v="1067"/>
          </reference>
          <reference field="1" count="1" selected="0">
            <x v="2345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23">
      <pivotArea dataOnly="0" labelOnly="1" outline="0" fieldPosition="0">
        <references count="5">
          <reference field="0" count="1" selected="0">
            <x v="1973"/>
          </reference>
          <reference field="1" count="1" selected="0">
            <x v="1999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22">
      <pivotArea dataOnly="0" labelOnly="1" outline="0" fieldPosition="0">
        <references count="5">
          <reference field="0" count="1" selected="0">
            <x v="2047"/>
          </reference>
          <reference field="1" count="1" selected="0">
            <x v="1989"/>
          </reference>
          <reference field="5" count="1">
            <x v="7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21">
      <pivotArea dataOnly="0" labelOnly="1" outline="0" fieldPosition="0">
        <references count="5">
          <reference field="0" count="1" selected="0">
            <x v="2048"/>
          </reference>
          <reference field="1" count="1" selected="0">
            <x v="808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20">
      <pivotArea dataOnly="0" labelOnly="1" outline="0" fieldPosition="0">
        <references count="5">
          <reference field="0" count="1" selected="0">
            <x v="2049"/>
          </reference>
          <reference field="1" count="1" selected="0">
            <x v="809"/>
          </reference>
          <reference field="5" count="1">
            <x v="0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19">
      <pivotArea dataOnly="0" labelOnly="1" outline="0" fieldPosition="0">
        <references count="5">
          <reference field="0" count="1" selected="0">
            <x v="2054"/>
          </reference>
          <reference field="1" count="1" selected="0">
            <x v="1624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18">
      <pivotArea dataOnly="0" labelOnly="1" outline="0" fieldPosition="0">
        <references count="5">
          <reference field="0" count="1" selected="0">
            <x v="2396"/>
          </reference>
          <reference field="1" count="1" selected="0">
            <x v="1081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17">
      <pivotArea dataOnly="0" labelOnly="1" outline="0" fieldPosition="0">
        <references count="5">
          <reference field="0" count="1" selected="0">
            <x v="2399"/>
          </reference>
          <reference field="1" count="1" selected="0">
            <x v="1084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16">
      <pivotArea dataOnly="0" labelOnly="1" outline="0" fieldPosition="0">
        <references count="5">
          <reference field="0" count="1" selected="0">
            <x v="2416"/>
          </reference>
          <reference field="1" count="1" selected="0">
            <x v="1186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15">
      <pivotArea dataOnly="0" labelOnly="1" outline="0" fieldPosition="0">
        <references count="5">
          <reference field="0" count="1" selected="0">
            <x v="2421"/>
          </reference>
          <reference field="1" count="1" selected="0">
            <x v="1408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14">
      <pivotArea dataOnly="0" labelOnly="1" outline="0" fieldPosition="0">
        <references count="5">
          <reference field="0" count="1" selected="0">
            <x v="2457"/>
          </reference>
          <reference field="1" count="1" selected="0">
            <x v="1513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13">
      <pivotArea dataOnly="0" labelOnly="1" outline="0" fieldPosition="0">
        <references count="5">
          <reference field="0" count="1" selected="0">
            <x v="2465"/>
          </reference>
          <reference field="1" count="1" selected="0">
            <x v="1586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12">
      <pivotArea dataOnly="0" labelOnly="1" outline="0" fieldPosition="0">
        <references count="5">
          <reference field="0" count="1" selected="0">
            <x v="2470"/>
          </reference>
          <reference field="1" count="1" selected="0">
            <x v="1594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11">
      <pivotArea dataOnly="0" labelOnly="1" outline="0" fieldPosition="0">
        <references count="5">
          <reference field="0" count="1" selected="0">
            <x v="2474"/>
          </reference>
          <reference field="1" count="1" selected="0">
            <x v="1670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10">
      <pivotArea dataOnly="0" labelOnly="1" outline="0" fieldPosition="0">
        <references count="5">
          <reference field="0" count="1" selected="0">
            <x v="2486"/>
          </reference>
          <reference field="1" count="1" selected="0">
            <x v="1682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09">
      <pivotArea dataOnly="0" labelOnly="1" outline="0" fieldPosition="0">
        <references count="5">
          <reference field="0" count="1" selected="0">
            <x v="2489"/>
          </reference>
          <reference field="1" count="1" selected="0">
            <x v="1727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08">
      <pivotArea dataOnly="0" labelOnly="1" outline="0" fieldPosition="0">
        <references count="5">
          <reference field="0" count="1" selected="0">
            <x v="2506"/>
          </reference>
          <reference field="1" count="1" selected="0">
            <x v="1814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07">
      <pivotArea dataOnly="0" labelOnly="1" outline="0" fieldPosition="0">
        <references count="5">
          <reference field="0" count="1" selected="0">
            <x v="2514"/>
          </reference>
          <reference field="1" count="1" selected="0">
            <x v="1844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06">
      <pivotArea dataOnly="0" labelOnly="1" outline="0" fieldPosition="0">
        <references count="5">
          <reference field="0" count="1" selected="0">
            <x v="2583"/>
          </reference>
          <reference field="1" count="1" selected="0">
            <x v="1189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05">
      <pivotArea dataOnly="0" labelOnly="1" outline="0" fieldPosition="0">
        <references count="5">
          <reference field="0" count="1" selected="0">
            <x v="2584"/>
          </reference>
          <reference field="1" count="1" selected="0">
            <x v="1410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04">
      <pivotArea dataOnly="0" labelOnly="1" outline="0" fieldPosition="0">
        <references count="5">
          <reference field="0" count="1" selected="0">
            <x v="2601"/>
          </reference>
          <reference field="1" count="1" selected="0">
            <x v="1906"/>
          </reference>
          <reference field="5" count="1">
            <x v="82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03">
      <pivotArea dataOnly="0" labelOnly="1" outline="0" fieldPosition="0">
        <references count="5">
          <reference field="0" count="1" selected="0">
            <x v="2602"/>
          </reference>
          <reference field="1" count="1" selected="0">
            <x v="1914"/>
          </reference>
          <reference field="5" count="1">
            <x v="70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02">
      <pivotArea dataOnly="0" labelOnly="1" outline="0" fieldPosition="0">
        <references count="5">
          <reference field="0" count="1" selected="0">
            <x v="2603"/>
          </reference>
          <reference field="1" count="1" selected="0">
            <x v="976"/>
          </reference>
          <reference field="5" count="1">
            <x v="97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01">
      <pivotArea dataOnly="0" labelOnly="1" outline="0" fieldPosition="0">
        <references count="5">
          <reference field="0" count="1" selected="0">
            <x v="2604"/>
          </reference>
          <reference field="1" count="1" selected="0">
            <x v="1133"/>
          </reference>
          <reference field="5" count="1">
            <x v="5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800">
      <pivotArea dataOnly="0" labelOnly="1" outline="0" fieldPosition="0">
        <references count="5">
          <reference field="0" count="1" selected="0">
            <x v="2610"/>
          </reference>
          <reference field="1" count="1" selected="0">
            <x v="1326"/>
          </reference>
          <reference field="5" count="1">
            <x v="12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99">
      <pivotArea dataOnly="0" labelOnly="1" outline="0" fieldPosition="0">
        <references count="5">
          <reference field="0" count="1" selected="0">
            <x v="2612"/>
          </reference>
          <reference field="1" count="1" selected="0">
            <x v="1404"/>
          </reference>
          <reference field="5" count="1">
            <x v="130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98">
      <pivotArea dataOnly="0" labelOnly="1" outline="0" fieldPosition="0">
        <references count="5">
          <reference field="0" count="1" selected="0">
            <x v="2613"/>
          </reference>
          <reference field="1" count="1" selected="0">
            <x v="1434"/>
          </reference>
          <reference field="5" count="1">
            <x v="67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97">
      <pivotArea dataOnly="0" labelOnly="1" outline="0" fieldPosition="0">
        <references count="5">
          <reference field="0" count="1" selected="0">
            <x v="2626"/>
          </reference>
          <reference field="1" count="1" selected="0">
            <x v="1905"/>
          </reference>
          <reference field="5" count="1">
            <x v="65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96">
      <pivotArea dataOnly="0" labelOnly="1" outline="0" fieldPosition="0">
        <references count="5">
          <reference field="0" count="1" selected="0">
            <x v="2628"/>
          </reference>
          <reference field="1" count="1" selected="0">
            <x v="1925"/>
          </reference>
          <reference field="5" count="1">
            <x v="79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95">
      <pivotArea dataOnly="0" labelOnly="1" outline="0" fieldPosition="0">
        <references count="5">
          <reference field="0" count="1" selected="0">
            <x v="2630"/>
          </reference>
          <reference field="1" count="1" selected="0">
            <x v="1236"/>
          </reference>
          <reference field="5" count="1">
            <x v="57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94">
      <pivotArea dataOnly="0" labelOnly="1" outline="0" fieldPosition="0">
        <references count="5">
          <reference field="0" count="1" selected="0">
            <x v="2632"/>
          </reference>
          <reference field="1" count="1" selected="0">
            <x v="1454"/>
          </reference>
          <reference field="5" count="1">
            <x v="118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93">
      <pivotArea dataOnly="0" labelOnly="1" outline="0" fieldPosition="0">
        <references count="5">
          <reference field="0" count="1" selected="0">
            <x v="2633"/>
          </reference>
          <reference field="1" count="1" selected="0">
            <x v="1477"/>
          </reference>
          <reference field="5" count="1">
            <x v="115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92">
      <pivotArea dataOnly="0" labelOnly="1" outline="0" fieldPosition="0">
        <references count="5">
          <reference field="0" count="1" selected="0">
            <x v="2634"/>
          </reference>
          <reference field="1" count="1" selected="0">
            <x v="1525"/>
          </reference>
          <reference field="5" count="1">
            <x v="63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91">
      <pivotArea dataOnly="0" labelOnly="1" outline="0" fieldPosition="0">
        <references count="5">
          <reference field="0" count="1" selected="0">
            <x v="2635"/>
          </reference>
          <reference field="1" count="1" selected="0">
            <x v="1526"/>
          </reference>
          <reference field="5" count="1">
            <x v="66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90">
      <pivotArea dataOnly="0" labelOnly="1" outline="0" fieldPosition="0">
        <references count="5">
          <reference field="0" count="1" selected="0">
            <x v="2636"/>
          </reference>
          <reference field="1" count="1" selected="0">
            <x v="1712"/>
          </reference>
          <reference field="5" count="1">
            <x v="47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89">
      <pivotArea dataOnly="0" labelOnly="1" outline="0" fieldPosition="0">
        <references count="5">
          <reference field="0" count="1" selected="0">
            <x v="2637"/>
          </reference>
          <reference field="1" count="1" selected="0">
            <x v="1713"/>
          </reference>
          <reference field="5" count="1">
            <x v="61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88">
      <pivotArea dataOnly="0" labelOnly="1" outline="0" fieldPosition="0">
        <references count="5">
          <reference field="0" count="1" selected="0">
            <x v="2638"/>
          </reference>
          <reference field="1" count="1" selected="0">
            <x v="952"/>
          </reference>
          <reference field="5" count="1">
            <x v="99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87">
      <pivotArea dataOnly="0" labelOnly="1" outline="0" fieldPosition="0">
        <references count="5">
          <reference field="0" count="1" selected="0">
            <x v="2639"/>
          </reference>
          <reference field="1" count="1" selected="0">
            <x v="965"/>
          </reference>
          <reference field="5" count="1">
            <x v="106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86">
      <pivotArea dataOnly="0" labelOnly="1" outline="0" fieldPosition="0">
        <references count="5">
          <reference field="0" count="1" selected="0">
            <x v="2640"/>
          </reference>
          <reference field="1" count="1" selected="0">
            <x v="953"/>
          </reference>
          <reference field="5" count="1">
            <x v="101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85">
      <pivotArea dataOnly="0" labelOnly="1" outline="0" fieldPosition="0">
        <references count="5">
          <reference field="0" count="1" selected="0">
            <x v="2642"/>
          </reference>
          <reference field="1" count="1" selected="0">
            <x v="1237"/>
          </reference>
          <reference field="5" count="1">
            <x v="81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84">
      <pivotArea dataOnly="0" labelOnly="1" outline="0" fieldPosition="0">
        <references count="5">
          <reference field="0" count="1" selected="0">
            <x v="2643"/>
          </reference>
          <reference field="1" count="1" selected="0">
            <x v="1443"/>
          </reference>
          <reference field="5" count="1">
            <x v="125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83">
      <pivotArea dataOnly="0" labelOnly="1" outline="0" fieldPosition="0">
        <references count="5">
          <reference field="0" count="1" selected="0">
            <x v="2644"/>
          </reference>
          <reference field="1" count="1" selected="0">
            <x v="1453"/>
          </reference>
          <reference field="5" count="1">
            <x v="12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82">
      <pivotArea dataOnly="0" labelOnly="1" outline="0" fieldPosition="0">
        <references count="5">
          <reference field="0" count="1" selected="0">
            <x v="2645"/>
          </reference>
          <reference field="1" count="1" selected="0">
            <x v="1524"/>
          </reference>
          <reference field="5" count="1">
            <x v="111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81">
      <pivotArea dataOnly="0" labelOnly="1" outline="0" fieldPosition="0">
        <references count="5">
          <reference field="0" count="1" selected="0">
            <x v="2646"/>
          </reference>
          <reference field="1" count="1" selected="0">
            <x v="1549"/>
          </reference>
          <reference field="5" count="1">
            <x v="105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80">
      <pivotArea dataOnly="0" labelOnly="1" outline="0" fieldPosition="0">
        <references count="5">
          <reference field="0" count="1" selected="0">
            <x v="2647"/>
          </reference>
          <reference field="1" count="1" selected="0">
            <x v="1550"/>
          </reference>
          <reference field="5" count="1">
            <x v="48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79">
      <pivotArea dataOnly="0" labelOnly="1" outline="0" fieldPosition="0">
        <references count="5">
          <reference field="0" count="1" selected="0">
            <x v="2648"/>
          </reference>
          <reference field="1" count="1" selected="0">
            <x v="1600"/>
          </reference>
          <reference field="5" count="1">
            <x v="1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78">
      <pivotArea dataOnly="0" labelOnly="1" outline="0" fieldPosition="0">
        <references count="5">
          <reference field="0" count="1" selected="0">
            <x v="2649"/>
          </reference>
          <reference field="1" count="1" selected="0">
            <x v="1934"/>
          </reference>
          <reference field="5" count="1">
            <x v="88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77">
      <pivotArea dataOnly="0" labelOnly="1" outline="0" fieldPosition="0">
        <references count="5">
          <reference field="0" count="1" selected="0">
            <x v="2650"/>
          </reference>
          <reference field="1" count="1" selected="0">
            <x v="1936"/>
          </reference>
          <reference field="5" count="1">
            <x v="133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76">
      <pivotArea dataOnly="0" labelOnly="1" outline="0" fieldPosition="0">
        <references count="5">
          <reference field="0" count="1" selected="0">
            <x v="2651"/>
          </reference>
          <reference field="1" count="1" selected="0">
            <x v="1935"/>
          </reference>
          <reference field="5" count="1">
            <x v="103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75">
      <pivotArea dataOnly="0" labelOnly="1" outline="0" fieldPosition="0">
        <references count="5">
          <reference field="0" count="1" selected="0">
            <x v="2652"/>
          </reference>
          <reference field="1" count="1" selected="0">
            <x v="1933"/>
          </reference>
          <reference field="5" count="1">
            <x v="129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74">
      <pivotArea dataOnly="0" labelOnly="1" outline="0" fieldPosition="0">
        <references count="5">
          <reference field="0" count="1" selected="0">
            <x v="2655"/>
          </reference>
          <reference field="1" count="1" selected="0">
            <x v="1232"/>
          </reference>
          <reference field="5" count="1">
            <x v="131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73">
      <pivotArea dataOnly="0" labelOnly="1" outline="0" fieldPosition="0">
        <references count="5">
          <reference field="0" count="1" selected="0">
            <x v="2656"/>
          </reference>
          <reference field="1" count="1" selected="0">
            <x v="1423"/>
          </reference>
          <reference field="5" count="1">
            <x v="52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72">
      <pivotArea dataOnly="0" labelOnly="1" outline="0" fieldPosition="0">
        <references count="5">
          <reference field="0" count="1" selected="0">
            <x v="2657"/>
          </reference>
          <reference field="1" count="1" selected="0">
            <x v="1648"/>
          </reference>
          <reference field="5" count="1">
            <x v="10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71">
      <pivotArea dataOnly="0" labelOnly="1" outline="0" fieldPosition="0">
        <references count="5">
          <reference field="0" count="1" selected="0">
            <x v="2658"/>
          </reference>
          <reference field="1" count="1" selected="0">
            <x v="1667"/>
          </reference>
          <reference field="5" count="1">
            <x v="119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70">
      <pivotArea dataOnly="0" labelOnly="1" outline="0" fieldPosition="0">
        <references count="5">
          <reference field="0" count="1" selected="0">
            <x v="2662"/>
          </reference>
          <reference field="1" count="1" selected="0">
            <x v="1917"/>
          </reference>
          <reference field="5" count="1">
            <x v="43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69">
      <pivotArea dataOnly="0" labelOnly="1" outline="0" fieldPosition="0">
        <references count="5">
          <reference field="0" count="1" selected="0">
            <x v="2663"/>
          </reference>
          <reference field="1" count="1" selected="0">
            <x v="1919"/>
          </reference>
          <reference field="5" count="1">
            <x v="46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68">
      <pivotArea dataOnly="0" labelOnly="1" outline="0" fieldPosition="0">
        <references count="5">
          <reference field="0" count="1" selected="0">
            <x v="2667"/>
          </reference>
          <reference field="1" count="1" selected="0">
            <x v="1516"/>
          </reference>
          <reference field="5" count="1">
            <x v="128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67">
      <pivotArea dataOnly="0" labelOnly="1" outline="0" fieldPosition="0">
        <references count="5">
          <reference field="0" count="1" selected="0">
            <x v="2668"/>
          </reference>
          <reference field="1" count="1" selected="0">
            <x v="1626"/>
          </reference>
          <reference field="5" count="1">
            <x v="127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66">
      <pivotArea dataOnly="0" labelOnly="1" outline="0" fieldPosition="0">
        <references count="5">
          <reference field="0" count="1" selected="0">
            <x v="2669"/>
          </reference>
          <reference field="1" count="1" selected="0">
            <x v="1647"/>
          </reference>
          <reference field="5" count="1">
            <x v="85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65">
      <pivotArea dataOnly="0" labelOnly="1" outline="0" fieldPosition="0">
        <references count="5">
          <reference field="0" count="1" selected="0">
            <x v="2671"/>
          </reference>
          <reference field="1" count="1" selected="0">
            <x v="1848"/>
          </reference>
          <reference field="5" count="1">
            <x v="6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64">
      <pivotArea dataOnly="0" labelOnly="1" outline="0" fieldPosition="0">
        <references count="5">
          <reference field="0" count="1" selected="0">
            <x v="2672"/>
          </reference>
          <reference field="1" count="1" selected="0">
            <x v="1850"/>
          </reference>
          <reference field="5" count="1">
            <x v="109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63">
      <pivotArea dataOnly="0" labelOnly="1" outline="0" fieldPosition="0">
        <references count="5">
          <reference field="0" count="1" selected="0">
            <x v="2673"/>
          </reference>
          <reference field="1" count="1" selected="0">
            <x v="1851"/>
          </reference>
          <reference field="5" count="1">
            <x v="58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62">
      <pivotArea dataOnly="0" labelOnly="1" outline="0" fieldPosition="0">
        <references count="5">
          <reference field="0" count="1" selected="0">
            <x v="2674"/>
          </reference>
          <reference field="1" count="1" selected="0">
            <x v="1849"/>
          </reference>
          <reference field="5" count="1">
            <x v="26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61">
      <pivotArea dataOnly="0" labelOnly="1" outline="0" fieldPosition="0">
        <references count="5">
          <reference field="0" count="1" selected="0">
            <x v="2676"/>
          </reference>
          <reference field="1" count="1" selected="0">
            <x v="1157"/>
          </reference>
          <reference field="5" count="1">
            <x v="112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60">
      <pivotArea dataOnly="0" labelOnly="1" outline="0" fieldPosition="0">
        <references count="5">
          <reference field="0" count="1" selected="0">
            <x v="2678"/>
          </reference>
          <reference field="1" count="1" selected="0">
            <x v="1569"/>
          </reference>
          <reference field="5" count="1">
            <x v="11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59">
      <pivotArea dataOnly="0" labelOnly="1" outline="0" fieldPosition="0">
        <references count="5">
          <reference field="0" count="1" selected="0">
            <x v="2679"/>
          </reference>
          <reference field="1" count="1" selected="0">
            <x v="1693"/>
          </reference>
          <reference field="5" count="1">
            <x v="22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58">
      <pivotArea dataOnly="0" labelOnly="1" outline="0" fieldPosition="0">
        <references count="5">
          <reference field="0" count="1" selected="0">
            <x v="2680"/>
          </reference>
          <reference field="1" count="1" selected="0">
            <x v="1741"/>
          </reference>
          <reference field="5" count="1">
            <x v="30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57">
      <pivotArea dataOnly="0" labelOnly="1" outline="0" fieldPosition="0">
        <references count="5">
          <reference field="0" count="1" selected="0">
            <x v="2681"/>
          </reference>
          <reference field="1" count="1" selected="0">
            <x v="1793"/>
          </reference>
          <reference field="5" count="1">
            <x v="86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56">
      <pivotArea dataOnly="0" labelOnly="1" outline="0" fieldPosition="0">
        <references count="5">
          <reference field="0" count="1" selected="0">
            <x v="2683"/>
          </reference>
          <reference field="1" count="1" selected="0">
            <x v="1910"/>
          </reference>
          <reference field="5" count="1">
            <x v="121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55">
      <pivotArea dataOnly="0" labelOnly="1" outline="0" fieldPosition="0">
        <references count="5">
          <reference field="0" count="1" selected="0">
            <x v="2685"/>
          </reference>
          <reference field="1" count="1" selected="0">
            <x v="1694"/>
          </reference>
          <reference field="5" count="1">
            <x v="50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54">
      <pivotArea dataOnly="0" labelOnly="1" outline="0" fieldPosition="0">
        <references count="5">
          <reference field="0" count="1" selected="0">
            <x v="2686"/>
          </reference>
          <reference field="1" count="1" selected="0">
            <x v="1763"/>
          </reference>
          <reference field="5" count="1">
            <x v="113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53">
      <pivotArea dataOnly="0" labelOnly="1" outline="0" fieldPosition="0">
        <references count="5">
          <reference field="0" count="1" selected="0">
            <x v="2687"/>
          </reference>
          <reference field="1" count="1" selected="0">
            <x v="1777"/>
          </reference>
          <reference field="5" count="1">
            <x v="83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52">
      <pivotArea dataOnly="0" labelOnly="1" outline="0" fieldPosition="0">
        <references count="5">
          <reference field="0" count="1" selected="0">
            <x v="2691"/>
          </reference>
          <reference field="1" count="1" selected="0">
            <x v="1332"/>
          </reference>
          <reference field="5" count="1">
            <x v="8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51">
      <pivotArea dataOnly="0" labelOnly="1" outline="0" fieldPosition="0">
        <references count="5">
          <reference field="0" count="1" selected="0">
            <x v="2693"/>
          </reference>
          <reference field="1" count="1" selected="0">
            <x v="1539"/>
          </reference>
          <reference field="5" count="1">
            <x v="70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50">
      <pivotArea dataOnly="0" labelOnly="1" outline="0" fieldPosition="0">
        <references count="5">
          <reference field="0" count="1" selected="0">
            <x v="2694"/>
          </reference>
          <reference field="1" count="1" selected="0">
            <x v="1540"/>
          </reference>
          <reference field="5" count="1">
            <x v="110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49">
      <pivotArea dataOnly="0" labelOnly="1" outline="0" fieldPosition="0">
        <references count="5">
          <reference field="0" count="1" selected="0">
            <x v="2695"/>
          </reference>
          <reference field="1" count="1" selected="0">
            <x v="1691"/>
          </reference>
          <reference field="5" count="1">
            <x v="38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48">
      <pivotArea dataOnly="0" labelOnly="1" outline="0" fieldPosition="0">
        <references count="5">
          <reference field="0" count="1" selected="0">
            <x v="2696"/>
          </reference>
          <reference field="1" count="1" selected="0">
            <x v="1692"/>
          </reference>
          <reference field="5" count="1">
            <x v="108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47">
      <pivotArea dataOnly="0" labelOnly="1" outline="0" fieldPosition="0">
        <references count="5">
          <reference field="0" count="1" selected="0">
            <x v="2697"/>
          </reference>
          <reference field="1" count="1" selected="0">
            <x v="1898"/>
          </reference>
          <reference field="5" count="1">
            <x v="78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46">
      <pivotArea dataOnly="0" labelOnly="1" outline="0" fieldPosition="0">
        <references count="5">
          <reference field="0" count="1" selected="0">
            <x v="2699"/>
          </reference>
          <reference field="1" count="1" selected="0">
            <x v="1918"/>
          </reference>
          <reference field="5" count="1">
            <x v="43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45">
      <pivotArea dataOnly="0" labelOnly="1" outline="0" fieldPosition="0">
        <references count="5">
          <reference field="0" count="1" selected="0">
            <x v="2702"/>
          </reference>
          <reference field="1" count="1" selected="0">
            <x v="904"/>
          </reference>
          <reference field="5" count="1">
            <x v="73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44">
      <pivotArea dataOnly="0" labelOnly="1" outline="0" fieldPosition="0">
        <references count="5">
          <reference field="0" count="1" selected="0">
            <x v="2703"/>
          </reference>
          <reference field="1" count="1" selected="0">
            <x v="1073"/>
          </reference>
          <reference field="5" count="1">
            <x v="72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43">
      <pivotArea dataOnly="0" labelOnly="1" outline="0" fieldPosition="0">
        <references count="5">
          <reference field="0" count="1" selected="0">
            <x v="2704"/>
          </reference>
          <reference field="1" count="1" selected="0">
            <x v="1074"/>
          </reference>
          <reference field="5" count="1">
            <x v="11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42">
      <pivotArea dataOnly="0" labelOnly="1" outline="0" fieldPosition="0">
        <references count="5">
          <reference field="0" count="1" selected="0">
            <x v="2707"/>
          </reference>
          <reference field="1" count="1" selected="0">
            <x v="1025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41">
      <pivotArea dataOnly="0" labelOnly="1" outline="0" fieldPosition="0">
        <references count="5">
          <reference field="0" count="1" selected="0">
            <x v="2716"/>
          </reference>
          <reference field="1" count="1" selected="0">
            <x v="1778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40">
      <pivotArea dataOnly="0" labelOnly="1" outline="0" fieldPosition="0">
        <references count="5">
          <reference field="0" count="1" selected="0">
            <x v="2820"/>
          </reference>
          <reference field="1" count="1" selected="0">
            <x v="2033"/>
          </reference>
          <reference field="5" count="1">
            <x v="7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39">
      <pivotArea dataOnly="0" labelOnly="1" outline="0" fieldPosition="0">
        <references count="5">
          <reference field="0" count="1" selected="0">
            <x v="2824"/>
          </reference>
          <reference field="1" count="1" selected="0">
            <x v="2030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38">
      <pivotArea dataOnly="0" labelOnly="1" outline="0" fieldPosition="0">
        <references count="5">
          <reference field="0" count="1" selected="0">
            <x v="2827"/>
          </reference>
          <reference field="1" count="1" selected="0">
            <x v="1368"/>
          </reference>
          <reference field="5" count="1">
            <x v="7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37">
      <pivotArea dataOnly="0" labelOnly="1" outline="0" fieldPosition="0">
        <references count="5">
          <reference field="0" count="1" selected="0">
            <x v="2832"/>
          </reference>
          <reference field="1" count="1" selected="0">
            <x v="1430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36">
      <pivotArea dataOnly="0" labelOnly="1" outline="0" fieldPosition="0">
        <references count="5">
          <reference field="0" count="1" selected="0">
            <x v="2833"/>
          </reference>
          <reference field="1" count="1" selected="0">
            <x v="1458"/>
          </reference>
          <reference field="5" count="1">
            <x v="7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35">
      <pivotArea dataOnly="0" labelOnly="1" outline="0" fieldPosition="0">
        <references count="5">
          <reference field="0" count="1" selected="0">
            <x v="2844"/>
          </reference>
          <reference field="1" count="1" selected="0">
            <x v="1366"/>
          </reference>
          <reference field="5" count="1">
            <x v="9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34">
      <pivotArea dataOnly="0" labelOnly="1" outline="0" fieldPosition="0">
        <references count="5">
          <reference field="0" count="1" selected="0">
            <x v="2847"/>
          </reference>
          <reference field="1" count="1" selected="0">
            <x v="1719"/>
          </reference>
          <reference field="5" count="1">
            <x v="13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33">
      <pivotArea dataOnly="0" labelOnly="1" outline="0" fieldPosition="0">
        <references count="5">
          <reference field="0" count="1" selected="0">
            <x v="2848"/>
          </reference>
          <reference field="1" count="1" selected="0">
            <x v="1138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32">
      <pivotArea dataOnly="0" labelOnly="1" outline="0" fieldPosition="0">
        <references count="5">
          <reference field="0" count="1" selected="0">
            <x v="2851"/>
          </reference>
          <reference field="1" count="1" selected="0">
            <x v="1553"/>
          </reference>
          <reference field="5" count="1">
            <x v="7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31">
      <pivotArea dataOnly="0" labelOnly="1" outline="0" fieldPosition="0">
        <references count="5">
          <reference field="0" count="1" selected="0">
            <x v="2858"/>
          </reference>
          <reference field="1" count="1" selected="0">
            <x v="1334"/>
          </reference>
          <reference field="5" count="1">
            <x v="9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30">
      <pivotArea dataOnly="0" labelOnly="1" outline="0" fieldPosition="0">
        <references count="5">
          <reference field="0" count="1" selected="0">
            <x v="2862"/>
          </reference>
          <reference field="1" count="1" selected="0">
            <x v="1944"/>
          </reference>
          <reference field="5" count="1">
            <x v="13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29">
      <pivotArea dataOnly="0" labelOnly="1" outline="0" fieldPosition="0">
        <references count="5">
          <reference field="0" count="1" selected="0">
            <x v="2864"/>
          </reference>
          <reference field="1" count="1" selected="0">
            <x v="1832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28">
      <pivotArea dataOnly="0" labelOnly="1" outline="0" fieldPosition="0">
        <references count="5">
          <reference field="0" count="1" selected="0">
            <x v="2872"/>
          </reference>
          <reference field="1" count="1" selected="0">
            <x v="1655"/>
          </reference>
          <reference field="5" count="1">
            <x v="7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27">
      <pivotArea dataOnly="0" labelOnly="1" outline="0" fieldPosition="0">
        <references count="5">
          <reference field="0" count="1" selected="0">
            <x v="2873"/>
          </reference>
          <reference field="1" count="1" selected="0">
            <x v="1927"/>
          </reference>
          <reference field="5" count="1">
            <x v="9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26">
      <pivotArea dataOnly="0" labelOnly="1" outline="0" fieldPosition="0">
        <references count="5">
          <reference field="0" count="1" selected="0">
            <x v="2874"/>
          </reference>
          <reference field="1" count="1" selected="0">
            <x v="1854"/>
          </reference>
          <reference field="5" count="1">
            <x v="7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25">
      <pivotArea dataOnly="0" labelOnly="1" outline="0" fieldPosition="0">
        <references count="5">
          <reference field="0" count="1" selected="0">
            <x v="2875"/>
          </reference>
          <reference field="1" count="1" selected="0">
            <x v="1558"/>
          </reference>
          <reference field="5" count="1">
            <x v="9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24">
      <pivotArea dataOnly="0" labelOnly="1" outline="0" fieldPosition="0">
        <references count="5">
          <reference field="0" count="1" selected="0">
            <x v="2878"/>
          </reference>
          <reference field="1" count="1" selected="0">
            <x v="1030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23">
      <pivotArea dataOnly="0" labelOnly="1" outline="0" fieldPosition="0">
        <references count="5">
          <reference field="0" count="1" selected="0">
            <x v="2894"/>
          </reference>
          <reference field="1" count="1" selected="0">
            <x v="1034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22">
      <pivotArea dataOnly="0" labelOnly="1" outline="0" fieldPosition="0">
        <references count="5">
          <reference field="0" count="1" selected="0">
            <x v="2964"/>
          </reference>
          <reference field="1" count="1" selected="0">
            <x v="1909"/>
          </reference>
          <reference field="5" count="1">
            <x v="9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21">
      <pivotArea dataOnly="0" labelOnly="1" outline="0" fieldPosition="0">
        <references count="5">
          <reference field="0" count="1" selected="0">
            <x v="2966"/>
          </reference>
          <reference field="1" count="1" selected="0">
            <x v="1847"/>
          </reference>
          <reference field="5" count="1">
            <x v="20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20">
      <pivotArea dataOnly="0" labelOnly="1" outline="0" fieldPosition="0">
        <references count="5">
          <reference field="0" count="1" selected="0">
            <x v="2967"/>
          </reference>
          <reference field="1" count="1" selected="0">
            <x v="1798"/>
          </reference>
          <reference field="5" count="1">
            <x v="18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19">
      <pivotArea dataOnly="0" labelOnly="1" outline="0" fieldPosition="0">
        <references count="5">
          <reference field="0" count="1" selected="0">
            <x v="2968"/>
          </reference>
          <reference field="1" count="1" selected="0">
            <x v="1886"/>
          </reference>
          <reference field="5" count="1">
            <x v="7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18">
      <pivotArea dataOnly="0" labelOnly="1" outline="0" fieldPosition="0">
        <references count="5">
          <reference field="0" count="1" selected="0">
            <x v="2969"/>
          </reference>
          <reference field="1" count="1" selected="0">
            <x v="1958"/>
          </reference>
          <reference field="5" count="1">
            <x v="9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17">
      <pivotArea dataOnly="0" labelOnly="1" outline="0" fieldPosition="0">
        <references count="5">
          <reference field="0" count="1" selected="0">
            <x v="2980"/>
          </reference>
          <reference field="1" count="1" selected="0">
            <x v="1846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16">
      <pivotArea dataOnly="0" labelOnly="1" outline="0" fieldPosition="0">
        <references count="5">
          <reference field="0" count="1" selected="0">
            <x v="2992"/>
          </reference>
          <reference field="1" count="1" selected="0">
            <x v="1782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15">
      <pivotArea dataOnly="0" labelOnly="1" outline="0" fieldPosition="0">
        <references count="5">
          <reference field="0" count="1" selected="0">
            <x v="3368"/>
          </reference>
          <reference field="1" count="1" selected="0">
            <x v="2047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14">
      <pivotArea dataOnly="0" labelOnly="1" outline="0" fieldPosition="0">
        <references count="5">
          <reference field="0" count="1" selected="0">
            <x v="3373"/>
          </reference>
          <reference field="1" count="1" selected="0">
            <x v="2066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13">
      <pivotArea dataOnly="0" labelOnly="1" outline="0" fieldPosition="0">
        <references count="5">
          <reference field="0" count="1" selected="0">
            <x v="3394"/>
          </reference>
          <reference field="1" count="1" selected="0">
            <x v="4731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12">
      <pivotArea dataOnly="0" labelOnly="1" outline="0" fieldPosition="0">
        <references count="5">
          <reference field="0" count="1" selected="0">
            <x v="3444"/>
          </reference>
          <reference field="1" count="1" selected="0">
            <x v="5220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11">
      <pivotArea dataOnly="0" labelOnly="1" outline="0" fieldPosition="0">
        <references count="5">
          <reference field="0" count="1" selected="0">
            <x v="3447"/>
          </reference>
          <reference field="1" count="1" selected="0">
            <x v="5366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10">
      <pivotArea dataOnly="0" labelOnly="1" outline="0" fieldPosition="0">
        <references count="5">
          <reference field="0" count="1" selected="0">
            <x v="3579"/>
          </reference>
          <reference field="1" count="1" selected="0">
            <x v="3492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09">
      <pivotArea dataOnly="0" labelOnly="1" outline="0" fieldPosition="0">
        <references count="5">
          <reference field="0" count="1" selected="0">
            <x v="3587"/>
          </reference>
          <reference field="1" count="1" selected="0">
            <x v="4087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08">
      <pivotArea dataOnly="0" labelOnly="1" outline="0" fieldPosition="0">
        <references count="5">
          <reference field="0" count="1" selected="0">
            <x v="3596"/>
          </reference>
          <reference field="1" count="1" selected="0">
            <x v="3702"/>
          </reference>
          <reference field="5" count="1">
            <x v="7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07">
      <pivotArea dataOnly="0" labelOnly="1" outline="0" fieldPosition="0">
        <references count="5">
          <reference field="0" count="1" selected="0">
            <x v="3597"/>
          </reference>
          <reference field="1" count="1" selected="0">
            <x v="3703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06">
      <pivotArea dataOnly="0" labelOnly="1" outline="0" fieldPosition="0">
        <references count="5">
          <reference field="0" count="1" selected="0">
            <x v="3598"/>
          </reference>
          <reference field="1" count="1" selected="0">
            <x v="3704"/>
          </reference>
          <reference field="5" count="1">
            <x v="7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05">
      <pivotArea dataOnly="0" labelOnly="1" outline="0" fieldPosition="0">
        <references count="5">
          <reference field="0" count="1" selected="0">
            <x v="3599"/>
          </reference>
          <reference field="1" count="1" selected="0">
            <x v="3705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04">
      <pivotArea dataOnly="0" labelOnly="1" outline="0" fieldPosition="0">
        <references count="5">
          <reference field="0" count="1" selected="0">
            <x v="3740"/>
          </reference>
          <reference field="1" count="1" selected="0">
            <x v="4117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03">
      <pivotArea dataOnly="0" labelOnly="1" outline="0" fieldPosition="0">
        <references count="5">
          <reference field="0" count="1" selected="0">
            <x v="3744"/>
          </reference>
          <reference field="1" count="1" selected="0">
            <x v="2873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02">
      <pivotArea dataOnly="0" labelOnly="1" outline="0" fieldPosition="0">
        <references count="5">
          <reference field="0" count="1" selected="0">
            <x v="3988"/>
          </reference>
          <reference field="1" count="1" selected="0">
            <x v="3686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01">
      <pivotArea dataOnly="0" labelOnly="1" outline="0" fieldPosition="0">
        <references count="5">
          <reference field="0" count="1" selected="0">
            <x v="3998"/>
          </reference>
          <reference field="1" count="1" selected="0">
            <x v="2743"/>
          </reference>
          <reference field="5" count="1">
            <x v="13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700">
      <pivotArea dataOnly="0" labelOnly="1" outline="0" fieldPosition="0">
        <references count="5">
          <reference field="0" count="1" selected="0">
            <x v="3999"/>
          </reference>
          <reference field="1" count="1" selected="0">
            <x v="2747"/>
          </reference>
          <reference field="5" count="1">
            <x v="9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99">
      <pivotArea dataOnly="0" labelOnly="1" outline="0" fieldPosition="0">
        <references count="5">
          <reference field="0" count="1" selected="0">
            <x v="4000"/>
          </reference>
          <reference field="1" count="1" selected="0">
            <x v="2986"/>
          </reference>
          <reference field="5" count="1">
            <x v="15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98">
      <pivotArea dataOnly="0" labelOnly="1" outline="0" fieldPosition="0">
        <references count="5">
          <reference field="0" count="1" selected="0">
            <x v="4002"/>
          </reference>
          <reference field="1" count="1" selected="0">
            <x v="3160"/>
          </reference>
          <reference field="5" count="1">
            <x v="7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97">
      <pivotArea dataOnly="0" labelOnly="1" outline="0" fieldPosition="0">
        <references count="5">
          <reference field="0" count="1" selected="0">
            <x v="4003"/>
          </reference>
          <reference field="1" count="1" selected="0">
            <x v="3168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96">
      <pivotArea dataOnly="0" labelOnly="1" outline="0" fieldPosition="0">
        <references count="5">
          <reference field="0" count="1" selected="0">
            <x v="4006"/>
          </reference>
          <reference field="1" count="1" selected="0">
            <x v="3411"/>
          </reference>
          <reference field="5" count="1">
            <x v="7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95">
      <pivotArea dataOnly="0" labelOnly="1" outline="0" fieldPosition="0">
        <references count="5">
          <reference field="0" count="1" selected="0">
            <x v="4011"/>
          </reference>
          <reference field="1" count="1" selected="0">
            <x v="3749"/>
          </reference>
          <reference field="5" count="1">
            <x v="9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94">
      <pivotArea dataOnly="0" labelOnly="1" outline="0" fieldPosition="0">
        <references count="5">
          <reference field="0" count="1" selected="0">
            <x v="4012"/>
          </reference>
          <reference field="1" count="1" selected="0">
            <x v="3983"/>
          </reference>
          <reference field="5" count="1">
            <x v="7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93">
      <pivotArea dataOnly="0" labelOnly="1" outline="0" fieldPosition="0">
        <references count="5">
          <reference field="0" count="1" selected="0">
            <x v="4017"/>
          </reference>
          <reference field="1" count="1" selected="0">
            <x v="4195"/>
          </reference>
          <reference field="5" count="1">
            <x v="9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92">
      <pivotArea dataOnly="0" labelOnly="1" outline="0" fieldPosition="0">
        <references count="5">
          <reference field="0" count="1" selected="0">
            <x v="4018"/>
          </reference>
          <reference field="1" count="1" selected="0">
            <x v="4203"/>
          </reference>
          <reference field="5" count="1">
            <x v="13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91">
      <pivotArea dataOnly="0" labelOnly="1" outline="0" fieldPosition="0">
        <references count="5">
          <reference field="0" count="1" selected="0">
            <x v="4021"/>
          </reference>
          <reference field="1" count="1" selected="0">
            <x v="4244"/>
          </reference>
          <reference field="5" count="1">
            <x v="7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90">
      <pivotArea dataOnly="0" labelOnly="1" outline="0" fieldPosition="0">
        <references count="5">
          <reference field="0" count="1" selected="0">
            <x v="4025"/>
          </reference>
          <reference field="1" count="1" selected="0">
            <x v="2692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89">
      <pivotArea dataOnly="0" labelOnly="1" outline="0" fieldPosition="0">
        <references count="5">
          <reference field="0" count="1" selected="0">
            <x v="4034"/>
          </reference>
          <reference field="1" count="1" selected="0">
            <x v="3534"/>
          </reference>
          <reference field="5" count="1">
            <x v="9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88">
      <pivotArea dataOnly="0" labelOnly="1" outline="0" fieldPosition="0">
        <references count="5">
          <reference field="0" count="1" selected="0">
            <x v="4040"/>
          </reference>
          <reference field="1" count="1" selected="0">
            <x v="4335"/>
          </reference>
          <reference field="5" count="1">
            <x v="7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87">
      <pivotArea dataOnly="0" labelOnly="1" outline="0" fieldPosition="0">
        <references count="5">
          <reference field="0" count="1" selected="0">
            <x v="4042"/>
          </reference>
          <reference field="1" count="1" selected="0">
            <x v="4299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86">
      <pivotArea dataOnly="0" labelOnly="1" outline="0" fieldPosition="0">
        <references count="5">
          <reference field="0" count="1" selected="0">
            <x v="4051"/>
          </reference>
          <reference field="1" count="1" selected="0">
            <x v="4333"/>
          </reference>
          <reference field="5" count="1">
            <x v="23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85">
      <pivotArea dataOnly="0" labelOnly="1" outline="0" fieldPosition="0">
        <references count="5">
          <reference field="0" count="1" selected="0">
            <x v="4053"/>
          </reference>
          <reference field="1" count="1" selected="0">
            <x v="2768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84">
      <pivotArea dataOnly="0" labelOnly="1" outline="0" fieldPosition="0">
        <references count="5">
          <reference field="0" count="1" selected="0">
            <x v="4063"/>
          </reference>
          <reference field="1" count="1" selected="0">
            <x v="3378"/>
          </reference>
          <reference field="5" count="1">
            <x v="13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83">
      <pivotArea dataOnly="0" labelOnly="1" outline="0" fieldPosition="0">
        <references count="5">
          <reference field="0" count="1" selected="0">
            <x v="4065"/>
          </reference>
          <reference field="1" count="1" selected="0">
            <x v="3383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82">
      <pivotArea dataOnly="0" labelOnly="1" outline="0" fieldPosition="0">
        <references count="5">
          <reference field="0" count="1" selected="0">
            <x v="4158"/>
          </reference>
          <reference field="1" count="1" selected="0">
            <x v="4713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81">
      <pivotArea dataOnly="0" labelOnly="1" outline="0" fieldPosition="0">
        <references count="5">
          <reference field="0" count="1" selected="0">
            <x v="4161"/>
          </reference>
          <reference field="1" count="1" selected="0">
            <x v="2682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80">
      <pivotArea dataOnly="0" labelOnly="1" outline="0" fieldPosition="0">
        <references count="5">
          <reference field="0" count="1" selected="0">
            <x v="4162"/>
          </reference>
          <reference field="1" count="1" selected="0">
            <x v="2669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79">
      <pivotArea dataOnly="0" labelOnly="1" outline="0" fieldPosition="0">
        <references count="5">
          <reference field="0" count="1" selected="0">
            <x v="4163"/>
          </reference>
          <reference field="1" count="1" selected="0">
            <x v="2668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78">
      <pivotArea dataOnly="0" labelOnly="1" outline="0" fieldPosition="0">
        <references count="5">
          <reference field="0" count="1" selected="0">
            <x v="4164"/>
          </reference>
          <reference field="1" count="1" selected="0">
            <x v="2670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77">
      <pivotArea dataOnly="0" labelOnly="1" outline="0" fieldPosition="0">
        <references count="5">
          <reference field="0" count="1" selected="0">
            <x v="4167"/>
          </reference>
          <reference field="1" count="1" selected="0">
            <x v="2835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76">
      <pivotArea dataOnly="0" labelOnly="1" outline="0" fieldPosition="0">
        <references count="5">
          <reference field="0" count="1" selected="0">
            <x v="4170"/>
          </reference>
          <reference field="1" count="1" selected="0">
            <x v="2900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75">
      <pivotArea dataOnly="0" labelOnly="1" outline="0" fieldPosition="0">
        <references count="5">
          <reference field="0" count="1" selected="0">
            <x v="4175"/>
          </reference>
          <reference field="1" count="1" selected="0">
            <x v="2972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74">
      <pivotArea dataOnly="0" labelOnly="1" outline="0" fieldPosition="0">
        <references count="5">
          <reference field="0" count="1" selected="0">
            <x v="4178"/>
          </reference>
          <reference field="1" count="1" selected="0">
            <x v="3052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73">
      <pivotArea dataOnly="0" labelOnly="1" outline="0" fieldPosition="0">
        <references count="5">
          <reference field="0" count="1" selected="0">
            <x v="4179"/>
          </reference>
          <reference field="1" count="1" selected="0">
            <x v="3095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72">
      <pivotArea dataOnly="0" labelOnly="1" outline="0" fieldPosition="0">
        <references count="5">
          <reference field="0" count="1" selected="0">
            <x v="4181"/>
          </reference>
          <reference field="1" count="1" selected="0">
            <x v="3104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71">
      <pivotArea dataOnly="0" labelOnly="1" outline="0" fieldPosition="0">
        <references count="5">
          <reference field="0" count="1" selected="0">
            <x v="4185"/>
          </reference>
          <reference field="1" count="1" selected="0">
            <x v="3332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70">
      <pivotArea dataOnly="0" labelOnly="1" outline="0" fieldPosition="0">
        <references count="5">
          <reference field="0" count="1" selected="0">
            <x v="4192"/>
          </reference>
          <reference field="1" count="1" selected="0">
            <x v="3503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69">
      <pivotArea dataOnly="0" labelOnly="1" outline="0" fieldPosition="0">
        <references count="5">
          <reference field="0" count="1" selected="0">
            <x v="4201"/>
          </reference>
          <reference field="1" count="1" selected="0">
            <x v="3552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68">
      <pivotArea dataOnly="0" labelOnly="1" outline="0" fieldPosition="0">
        <references count="5">
          <reference field="0" count="1" selected="0">
            <x v="4203"/>
          </reference>
          <reference field="1" count="1" selected="0">
            <x v="3632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67">
      <pivotArea dataOnly="0" labelOnly="1" outline="0" fieldPosition="0">
        <references count="5">
          <reference field="0" count="1" selected="0">
            <x v="4204"/>
          </reference>
          <reference field="1" count="1" selected="0">
            <x v="3659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66">
      <pivotArea dataOnly="0" labelOnly="1" outline="0" fieldPosition="0">
        <references count="5">
          <reference field="0" count="1" selected="0">
            <x v="4205"/>
          </reference>
          <reference field="1" count="1" selected="0">
            <x v="3633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65">
      <pivotArea dataOnly="0" labelOnly="1" outline="0" fieldPosition="0">
        <references count="5">
          <reference field="0" count="1" selected="0">
            <x v="4206"/>
          </reference>
          <reference field="1" count="1" selected="0">
            <x v="3660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64">
      <pivotArea dataOnly="0" labelOnly="1" outline="0" fieldPosition="0">
        <references count="5">
          <reference field="0" count="1" selected="0">
            <x v="4210"/>
          </reference>
          <reference field="1" count="1" selected="0">
            <x v="3817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63">
      <pivotArea dataOnly="0" labelOnly="1" outline="0" fieldPosition="0">
        <references count="5">
          <reference field="0" count="1" selected="0">
            <x v="4211"/>
          </reference>
          <reference field="1" count="1" selected="0">
            <x v="3976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62">
      <pivotArea dataOnly="0" labelOnly="1" outline="0" fieldPosition="0">
        <references count="5">
          <reference field="0" count="1" selected="0">
            <x v="4230"/>
          </reference>
          <reference field="1" count="1" selected="0">
            <x v="4568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61">
      <pivotArea dataOnly="0" labelOnly="1" outline="0" fieldPosition="0">
        <references count="5">
          <reference field="0" count="1" selected="0">
            <x v="4233"/>
          </reference>
          <reference field="1" count="1" selected="0">
            <x v="2667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60">
      <pivotArea dataOnly="0" labelOnly="1" outline="0" fieldPosition="0">
        <references count="5">
          <reference field="0" count="1" selected="0">
            <x v="4234"/>
          </reference>
          <reference field="1" count="1" selected="0">
            <x v="2888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59">
      <pivotArea dataOnly="0" labelOnly="1" outline="0" fieldPosition="0">
        <references count="5">
          <reference field="0" count="1" selected="0">
            <x v="4246"/>
          </reference>
          <reference field="1" count="1" selected="0">
            <x v="3720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58">
      <pivotArea dataOnly="0" labelOnly="1" outline="0" fieldPosition="0">
        <references count="5">
          <reference field="0" count="1" selected="0">
            <x v="4251"/>
          </reference>
          <reference field="1" count="1" selected="0">
            <x v="2773"/>
          </reference>
          <reference field="5" count="1">
            <x v="23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57">
      <pivotArea dataOnly="0" labelOnly="1" outline="0" fieldPosition="0">
        <references count="5">
          <reference field="0" count="1" selected="0">
            <x v="4252"/>
          </reference>
          <reference field="1" count="1" selected="0">
            <x v="2885"/>
          </reference>
          <reference field="5" count="1">
            <x v="18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56">
      <pivotArea dataOnly="0" labelOnly="1" outline="0" fieldPosition="0">
        <references count="5">
          <reference field="0" count="1" selected="0">
            <x v="4259"/>
          </reference>
          <reference field="1" count="1" selected="0">
            <x v="3625"/>
          </reference>
          <reference field="5" count="1">
            <x v="13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55">
      <pivotArea dataOnly="0" labelOnly="1" outline="0" fieldPosition="0">
        <references count="5">
          <reference field="0" count="1" selected="0">
            <x v="4263"/>
          </reference>
          <reference field="1" count="1" selected="0">
            <x v="2663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54">
      <pivotArea dataOnly="0" labelOnly="1" outline="0" fieldPosition="0">
        <references count="5">
          <reference field="0" count="1" selected="0">
            <x v="4279"/>
          </reference>
          <reference field="1" count="1" selected="0">
            <x v="3372"/>
          </reference>
          <reference field="5" count="1">
            <x v="0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53">
      <pivotArea dataOnly="0" labelOnly="1" outline="0" fieldPosition="0">
        <references count="5">
          <reference field="0" count="1" selected="0">
            <x v="4281"/>
          </reference>
          <reference field="1" count="1" selected="0">
            <x v="3494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52">
      <pivotArea dataOnly="0" labelOnly="1" outline="0" fieldPosition="0">
        <references count="5">
          <reference field="0" count="1" selected="0">
            <x v="4282"/>
          </reference>
          <reference field="1" count="1" selected="0">
            <x v="3372"/>
          </reference>
          <reference field="5" count="1">
            <x v="0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51">
      <pivotArea dataOnly="0" labelOnly="1" outline="0" fieldPosition="0">
        <references count="5">
          <reference field="0" count="1" selected="0">
            <x v="4284"/>
          </reference>
          <reference field="1" count="1" selected="0">
            <x v="3643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50">
      <pivotArea dataOnly="0" labelOnly="1" outline="0" fieldPosition="0">
        <references count="5">
          <reference field="0" count="1" selected="0">
            <x v="4287"/>
          </reference>
          <reference field="1" count="1" selected="0">
            <x v="3700"/>
          </reference>
          <reference field="5" count="1">
            <x v="0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49">
      <pivotArea dataOnly="0" labelOnly="1" outline="0" fieldPosition="0">
        <references count="5">
          <reference field="0" count="1" selected="0">
            <x v="4292"/>
          </reference>
          <reference field="1" count="1" selected="0">
            <x v="3164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48">
      <pivotArea dataOnly="0" labelOnly="1" outline="0" fieldPosition="0">
        <references count="5">
          <reference field="0" count="1" selected="0">
            <x v="4293"/>
          </reference>
          <reference field="1" count="1" selected="0">
            <x v="3587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47">
      <pivotArea dataOnly="0" labelOnly="1" outline="0" fieldPosition="0">
        <references count="5">
          <reference field="0" count="1" selected="0">
            <x v="4294"/>
          </reference>
          <reference field="1" count="1" selected="0">
            <x v="3588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46">
      <pivotArea dataOnly="0" labelOnly="1" outline="0" fieldPosition="0">
        <references count="5">
          <reference field="0" count="1" selected="0">
            <x v="4296"/>
          </reference>
          <reference field="1" count="1" selected="0">
            <x v="4515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45">
      <pivotArea dataOnly="0" labelOnly="1" outline="0" fieldPosition="0">
        <references count="5">
          <reference field="0" count="1" selected="0">
            <x v="4297"/>
          </reference>
          <reference field="1" count="1" selected="0">
            <x v="3791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44">
      <pivotArea dataOnly="0" labelOnly="1" outline="0" fieldPosition="0">
        <references count="5">
          <reference field="0" count="1" selected="0">
            <x v="4313"/>
          </reference>
          <reference field="1" count="1" selected="0">
            <x v="3348"/>
          </reference>
          <reference field="5" count="1">
            <x v="7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43">
      <pivotArea dataOnly="0" labelOnly="1" outline="0" fieldPosition="0">
        <references count="5">
          <reference field="0" count="1" selected="0">
            <x v="4321"/>
          </reference>
          <reference field="1" count="1" selected="0">
            <x v="3752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42">
      <pivotArea dataOnly="0" labelOnly="1" outline="0" fieldPosition="0">
        <references count="5">
          <reference field="0" count="1" selected="0">
            <x v="4326"/>
          </reference>
          <reference field="1" count="1" selected="0">
            <x v="4173"/>
          </reference>
          <reference field="5" count="1">
            <x v="9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41">
      <pivotArea dataOnly="0" labelOnly="1" outline="0" fieldPosition="0">
        <references count="5">
          <reference field="0" count="1" selected="0">
            <x v="4327"/>
          </reference>
          <reference field="1" count="1" selected="0">
            <x v="4259"/>
          </reference>
          <reference field="5" count="1">
            <x v="18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40">
      <pivotArea dataOnly="0" labelOnly="1" outline="0" fieldPosition="0">
        <references count="5">
          <reference field="0" count="1" selected="0">
            <x v="4329"/>
          </reference>
          <reference field="1" count="1" selected="0">
            <x v="4507"/>
          </reference>
          <reference field="5" count="1">
            <x v="7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39">
      <pivotArea dataOnly="0" labelOnly="1" outline="0" fieldPosition="0">
        <references count="5">
          <reference field="0" count="1" selected="0">
            <x v="4332"/>
          </reference>
          <reference field="1" count="1" selected="0">
            <x v="3783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38">
      <pivotArea dataOnly="0" labelOnly="1" outline="0" fieldPosition="0">
        <references count="5">
          <reference field="0" count="1" selected="0">
            <x v="4333"/>
          </reference>
          <reference field="1" count="1" selected="0">
            <x v="3131"/>
          </reference>
          <reference field="5" count="1">
            <x v="9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37">
      <pivotArea dataOnly="0" labelOnly="1" outline="0" fieldPosition="0">
        <references count="5">
          <reference field="0" count="1" selected="0">
            <x v="4335"/>
          </reference>
          <reference field="1" count="1" selected="0">
            <x v="3385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36">
      <pivotArea dataOnly="0" labelOnly="1" outline="0" fieldPosition="0">
        <references count="5">
          <reference field="0" count="1" selected="0">
            <x v="4340"/>
          </reference>
          <reference field="1" count="1" selected="0">
            <x v="3664"/>
          </reference>
          <reference field="5" count="1">
            <x v="13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35">
      <pivotArea dataOnly="0" labelOnly="1" outline="0" fieldPosition="0">
        <references count="5">
          <reference field="0" count="1" selected="0">
            <x v="4341"/>
          </reference>
          <reference field="1" count="1" selected="0">
            <x v="3665"/>
          </reference>
          <reference field="5" count="1">
            <x v="9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34">
      <pivotArea dataOnly="0" labelOnly="1" outline="0" fieldPosition="0">
        <references count="5">
          <reference field="0" count="1" selected="0">
            <x v="4342"/>
          </reference>
          <reference field="1" count="1" selected="0">
            <x v="3682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33">
      <pivotArea dataOnly="0" labelOnly="1" outline="0" fieldPosition="0">
        <references count="5">
          <reference field="0" count="1" selected="0">
            <x v="4343"/>
          </reference>
          <reference field="1" count="1" selected="0">
            <x v="3825"/>
          </reference>
          <reference field="5" count="1">
            <x v="7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32">
      <pivotArea dataOnly="0" labelOnly="1" outline="0" fieldPosition="0">
        <references count="5">
          <reference field="0" count="1" selected="0">
            <x v="4345"/>
          </reference>
          <reference field="1" count="1" selected="0">
            <x v="4066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31">
      <pivotArea dataOnly="0" labelOnly="1" outline="0" fieldPosition="0">
        <references count="5">
          <reference field="0" count="1" selected="0">
            <x v="4392"/>
          </reference>
          <reference field="1" count="1" selected="0">
            <x v="3508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30">
      <pivotArea dataOnly="0" labelOnly="1" outline="0" fieldPosition="0">
        <references count="5">
          <reference field="0" count="1" selected="0">
            <x v="4393"/>
          </reference>
          <reference field="1" count="1" selected="0">
            <x v="3509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29">
      <pivotArea dataOnly="0" labelOnly="1" outline="0" fieldPosition="0">
        <references count="5">
          <reference field="0" count="1" selected="0">
            <x v="4422"/>
          </reference>
          <reference field="1" count="1" selected="0">
            <x v="4042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28">
      <pivotArea dataOnly="0" labelOnly="1" outline="0" fieldPosition="0">
        <references count="5">
          <reference field="0" count="1" selected="0">
            <x v="4425"/>
          </reference>
          <reference field="1" count="1" selected="0">
            <x v="3676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27">
      <pivotArea dataOnly="0" labelOnly="1" outline="0" fieldPosition="0">
        <references count="5">
          <reference field="0" count="1" selected="0">
            <x v="4478"/>
          </reference>
          <reference field="1" count="1" selected="0">
            <x v="3496"/>
          </reference>
          <reference field="5" count="1">
            <x v="29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26">
      <pivotArea dataOnly="0" labelOnly="1" outline="0" fieldPosition="0">
        <references count="5">
          <reference field="0" count="1" selected="0">
            <x v="4635"/>
          </reference>
          <reference field="1" count="1" selected="0">
            <x v="4552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25">
      <pivotArea dataOnly="0" labelOnly="1" outline="0" fieldPosition="0">
        <references count="5">
          <reference field="0" count="1" selected="0">
            <x v="4638"/>
          </reference>
          <reference field="1" count="1" selected="0">
            <x v="2935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24">
      <pivotArea dataOnly="0" labelOnly="1" outline="0" fieldPosition="0">
        <references count="5">
          <reference field="0" count="1" selected="0">
            <x v="4642"/>
          </reference>
          <reference field="1" count="1" selected="0">
            <x v="2938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23">
      <pivotArea dataOnly="0" labelOnly="1" outline="0" fieldPosition="0">
        <references count="5">
          <reference field="0" count="1" selected="0">
            <x v="4748"/>
          </reference>
          <reference field="1" count="1" selected="0">
            <x v="2839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22">
      <pivotArea dataOnly="0" labelOnly="1" outline="0" fieldPosition="0">
        <references count="5">
          <reference field="0" count="1" selected="0">
            <x v="4754"/>
          </reference>
          <reference field="1" count="1" selected="0">
            <x v="3466"/>
          </reference>
          <reference field="5" count="1">
            <x v="13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21">
      <pivotArea dataOnly="0" labelOnly="1" outline="0" fieldPosition="0">
        <references count="5">
          <reference field="0" count="1" selected="0">
            <x v="4755"/>
          </reference>
          <reference field="1" count="1" selected="0">
            <x v="3566"/>
          </reference>
          <reference field="5" count="1">
            <x v="7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20">
      <pivotArea dataOnly="0" labelOnly="1" outline="0" fieldPosition="0">
        <references count="5">
          <reference field="0" count="1" selected="0">
            <x v="4756"/>
          </reference>
          <reference field="1" count="1" selected="0">
            <x v="3569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19">
      <pivotArea dataOnly="0" labelOnly="1" outline="0" fieldPosition="0">
        <references count="5">
          <reference field="0" count="1" selected="0">
            <x v="4760"/>
          </reference>
          <reference field="1" count="1" selected="0">
            <x v="3766"/>
          </reference>
          <reference field="5" count="1">
            <x v="9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18">
      <pivotArea dataOnly="0" labelOnly="1" outline="0" fieldPosition="0">
        <references count="5">
          <reference field="0" count="1" selected="0">
            <x v="4761"/>
          </reference>
          <reference field="1" count="1" selected="0">
            <x v="4035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17">
      <pivotArea dataOnly="0" labelOnly="1" outline="0" fieldPosition="0">
        <references count="5">
          <reference field="0" count="1" selected="0">
            <x v="4764"/>
          </reference>
          <reference field="1" count="1" selected="0">
            <x v="4134"/>
          </reference>
          <reference field="5" count="1">
            <x v="13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16">
      <pivotArea dataOnly="0" labelOnly="1" outline="0" fieldPosition="0">
        <references count="5">
          <reference field="0" count="1" selected="0">
            <x v="4766"/>
          </reference>
          <reference field="1" count="1" selected="0">
            <x v="4249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15">
      <pivotArea dataOnly="0" labelOnly="1" outline="0" fieldPosition="0">
        <references count="5">
          <reference field="0" count="1" selected="0">
            <x v="4769"/>
          </reference>
          <reference field="1" count="1" selected="0">
            <x v="2966"/>
          </reference>
          <reference field="5" count="1">
            <x v="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  <format dxfId="1614">
      <pivotArea dataOnly="0" labelOnly="1" outline="0" fieldPosition="0">
        <references count="5">
          <reference field="0" count="1" selected="0">
            <x v="4830"/>
          </reference>
          <reference field="1" count="1" selected="0">
            <x v="5217"/>
          </reference>
          <reference field="5" count="1">
            <x v="134"/>
          </reference>
          <reference field="14" count="1" selected="0">
            <x v="1"/>
          </reference>
          <reference field="15" count="1" selected="0">
            <x v="626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OSummary" displayName="tblPOSummary" ref="A4:O10" headerRowDxfId="1596" dataDxfId="1594" totalsRowDxfId="1595">
  <autoFilter ref="A4:O10" xr:uid="{00000000-0009-0000-0100-000001000000}"/>
  <tableColumns count="15">
    <tableColumn id="1" xr3:uid="{00000000-0010-0000-0000-000001000000}" name="PO Number" dataDxfId="1611"/>
    <tableColumn id="2" xr3:uid="{00000000-0010-0000-0000-000002000000}" name="Supplier ID" dataDxfId="1610"/>
    <tableColumn id="3" xr3:uid="{00000000-0010-0000-0000-000003000000}" name="Contract Ref" dataDxfId="1609"/>
    <tableColumn id="4" xr3:uid="{00000000-0010-0000-0000-000004000000}" name="PO Description" dataDxfId="1608"/>
    <tableColumn id="5" xr3:uid="{00000000-0010-0000-0000-000005000000}" name="PO Date" dataDxfId="1607"/>
    <tableColumn id="6" xr3:uid="{00000000-0010-0000-0000-000006000000}" name="Currency" dataDxfId="1606"/>
    <tableColumn id="7" xr3:uid="{00000000-0010-0000-0000-000007000000}" name="Posting Level" dataDxfId="1605"/>
    <tableColumn id="8" xr3:uid="{00000000-0010-0000-0000-000008000000}" name="Summary Cost Object" dataDxfId="1604"/>
    <tableColumn id="9" xr3:uid="{00000000-0010-0000-0000-000009000000}" name="PO Value (£)" dataDxfId="1603"/>
    <tableColumn id="10" xr3:uid="{00000000-0010-0000-0000-00000A000000}" name="Actual Posted (£)" dataDxfId="1602"/>
    <tableColumn id="11" xr3:uid="{00000000-0010-0000-0000-00000B000000}" name="Allocation Basis" dataDxfId="1601"/>
    <tableColumn id="12" xr3:uid="{00000000-0010-0000-0000-00000C000000}" name="Status" dataDxfId="1600"/>
    <tableColumn id="13" xr3:uid="{00000000-0010-0000-0000-00000D000000}" name="Total Allocation %" dataDxfId="1599"/>
    <tableColumn id="14" xr3:uid="{00000000-0010-0000-0000-00000E000000}" name="Allocated Actual (£)" dataDxfId="1598"/>
    <tableColumn id="15" xr3:uid="{00000000-0010-0000-0000-00000F000000}" name="Unallocated Difference (£)" dataDxfId="159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ActualAllocation" displayName="tblActualAllocation" ref="A4:O20" headerRowDxfId="1578" dataDxfId="1576" totalsRowDxfId="1577">
  <autoFilter ref="A4:O20" xr:uid="{00000000-0009-0000-0100-000002000000}"/>
  <tableColumns count="15">
    <tableColumn id="1" xr3:uid="{00000000-0010-0000-0100-000001000000}" name="Allocation ID" dataDxfId="1593"/>
    <tableColumn id="2" xr3:uid="{00000000-0010-0000-0100-000002000000}" name="PO Number" dataDxfId="1592"/>
    <tableColumn id="3" xr3:uid="{00000000-0010-0000-0100-000003000000}" name="Project Definition" dataDxfId="1591"/>
    <tableColumn id="4" xr3:uid="{00000000-0010-0000-0100-000004000000}" name="Project Name" dataDxfId="1590"/>
    <tableColumn id="5" xr3:uid="{00000000-0010-0000-0100-000005000000}" name="WBS Element" dataDxfId="1589"/>
    <tableColumn id="6" xr3:uid="{00000000-0010-0000-0100-000006000000}" name="WBS Description" dataDxfId="1588"/>
    <tableColumn id="7" xr3:uid="{00000000-0010-0000-0100-000007000000}" name="Investment ID" dataDxfId="1587"/>
    <tableColumn id="8" xr3:uid="{00000000-0010-0000-0100-000008000000}" name="Allocation Rule" dataDxfId="1586"/>
    <tableColumn id="9" xr3:uid="{00000000-0010-0000-0100-000009000000}" name="Allocation %" dataDxfId="1585"/>
    <tableColumn id="10" xr3:uid="{00000000-0010-0000-0100-00000A000000}" name="PO Actual (£)" dataDxfId="1584"/>
    <tableColumn id="11" xr3:uid="{00000000-0010-0000-0100-00000B000000}" name="Calculated Allocation (£)" dataDxfId="1583"/>
    <tableColumn id="12" xr3:uid="{00000000-0010-0000-0100-00000C000000}" name="Manual Adjustment (£)" dataDxfId="1582"/>
    <tableColumn id="13" xr3:uid="{00000000-0010-0000-0100-00000D000000}" name="Final Allocated Actual (£)" dataDxfId="1581"/>
    <tableColumn id="14" xr3:uid="{00000000-0010-0000-0100-00000E000000}" name="Allocation Rationale" dataDxfId="1580"/>
    <tableColumn id="15" xr3:uid="{00000000-0010-0000-0100-00000F000000}" name="Review Status" dataDxfId="157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</sheetPr>
  <dimension ref="B1:AA69"/>
  <sheetViews>
    <sheetView tabSelected="1" zoomScale="85" zoomScaleNormal="85" workbookViewId="0">
      <selection activeCell="A3" sqref="A3"/>
    </sheetView>
  </sheetViews>
  <sheetFormatPr defaultRowHeight="14.75" x14ac:dyDescent="0.75"/>
  <cols>
    <col min="1" max="1" width="4.54296875" customWidth="1"/>
    <col min="2" max="2" width="12.54296875" bestFit="1" customWidth="1"/>
    <col min="3" max="3" width="16.7265625" customWidth="1"/>
    <col min="4" max="4" width="4.54296875" customWidth="1"/>
    <col min="5" max="5" width="17.7265625" bestFit="1" customWidth="1"/>
    <col min="6" max="6" width="20.1328125" customWidth="1"/>
    <col min="7" max="7" width="47" bestFit="1" customWidth="1"/>
    <col min="8" max="9" width="47" customWidth="1"/>
    <col min="10" max="10" width="15.26953125" bestFit="1" customWidth="1"/>
    <col min="11" max="11" width="25.86328125" bestFit="1" customWidth="1"/>
    <col min="12" max="12" width="15.1328125" bestFit="1" customWidth="1"/>
    <col min="13" max="13" width="22.54296875" customWidth="1"/>
    <col min="14" max="14" width="15.86328125" customWidth="1"/>
    <col min="15" max="15" width="63.86328125" customWidth="1"/>
    <col min="16" max="16" width="18.40625" bestFit="1" customWidth="1"/>
    <col min="17" max="17" width="18" bestFit="1" customWidth="1"/>
    <col min="18" max="18" width="18.40625" bestFit="1" customWidth="1"/>
    <col min="19" max="19" width="17.7265625" bestFit="1" customWidth="1"/>
    <col min="20" max="27" width="16.40625" bestFit="1" customWidth="1"/>
    <col min="28" max="28" width="19.40625" bestFit="1" customWidth="1"/>
  </cols>
  <sheetData>
    <row r="1" spans="2:27" ht="15" customHeight="1" thickBot="1" x14ac:dyDescent="0.9"/>
    <row r="2" spans="2:27" s="2" customFormat="1" ht="15" customHeight="1" thickBot="1" x14ac:dyDescent="0.9">
      <c r="B2" t="s">
        <v>1</v>
      </c>
      <c r="C2" t="s">
        <v>2</v>
      </c>
      <c r="D2" s="2" t="s">
        <v>3</v>
      </c>
      <c r="E2" s="7" t="s">
        <v>4</v>
      </c>
      <c r="F2" s="11" t="s">
        <v>5</v>
      </c>
      <c r="G2" s="12" t="s">
        <v>5</v>
      </c>
      <c r="H2" s="11" t="s">
        <v>6</v>
      </c>
      <c r="I2" s="12" t="s">
        <v>6</v>
      </c>
      <c r="J2" s="11" t="s">
        <v>7</v>
      </c>
      <c r="K2" s="7" t="s">
        <v>8</v>
      </c>
      <c r="L2" s="11" t="s">
        <v>9</v>
      </c>
      <c r="M2" s="7" t="s">
        <v>10</v>
      </c>
      <c r="N2" s="7" t="s">
        <v>11</v>
      </c>
      <c r="O2" s="7" t="s">
        <v>12</v>
      </c>
      <c r="P2" s="12" t="s">
        <v>13</v>
      </c>
      <c r="Q2" s="12" t="s">
        <v>14</v>
      </c>
      <c r="R2" s="12" t="s">
        <v>15</v>
      </c>
      <c r="S2" s="12" t="s">
        <v>16</v>
      </c>
      <c r="T2" s="4" t="s">
        <v>17</v>
      </c>
      <c r="U2" s="4" t="s">
        <v>18</v>
      </c>
      <c r="V2" s="4" t="s">
        <v>19</v>
      </c>
      <c r="W2" s="4" t="s">
        <v>20</v>
      </c>
      <c r="X2" s="4" t="s">
        <v>21</v>
      </c>
      <c r="Y2" s="4" t="s">
        <v>22</v>
      </c>
      <c r="Z2" s="4" t="s">
        <v>23</v>
      </c>
      <c r="AA2" s="4" t="s">
        <v>24</v>
      </c>
    </row>
    <row r="3" spans="2:27" ht="15" customHeight="1" thickBot="1" x14ac:dyDescent="0.9">
      <c r="B3" s="16">
        <v>0</v>
      </c>
      <c r="C3" s="22" t="str">
        <f>IF(COUNTIF('Copperleaf Data'!O:O,'SAP Data'!F3)&gt;0,"_Yes","No - "&amp;LEFT(F3,3))</f>
        <v>_Yes</v>
      </c>
      <c r="E3" s="7" t="s">
        <v>25</v>
      </c>
      <c r="F3" s="7" t="s">
        <v>26</v>
      </c>
      <c r="G3" s="7" t="s">
        <v>27</v>
      </c>
      <c r="H3" s="7" t="s">
        <v>28</v>
      </c>
      <c r="I3" s="7" t="s">
        <v>29</v>
      </c>
      <c r="J3" s="7" t="s">
        <v>0</v>
      </c>
      <c r="K3" s="7" t="s">
        <v>30</v>
      </c>
      <c r="L3" s="7" t="s">
        <v>31</v>
      </c>
      <c r="M3" s="7" t="s">
        <v>32</v>
      </c>
      <c r="N3" s="7" t="s">
        <v>33</v>
      </c>
      <c r="O3" s="7" t="s">
        <v>34</v>
      </c>
      <c r="P3" s="9">
        <v>4579.7542020000001</v>
      </c>
      <c r="Q3" s="9">
        <v>-4579.7542020000001</v>
      </c>
      <c r="R3" s="8">
        <v>0</v>
      </c>
      <c r="S3" s="8">
        <v>0</v>
      </c>
      <c r="T3" s="5"/>
      <c r="U3" s="5"/>
      <c r="V3" s="5"/>
      <c r="W3" s="5"/>
      <c r="X3" s="5"/>
      <c r="Y3" s="5"/>
      <c r="Z3" s="5"/>
      <c r="AA3" s="5"/>
    </row>
    <row r="4" spans="2:27" ht="15" customHeight="1" thickBot="1" x14ac:dyDescent="0.9">
      <c r="B4" s="16">
        <v>77127.05</v>
      </c>
      <c r="C4" s="22" t="str">
        <f>IF(COUNTIF('Copperleaf Data'!O:O,'SAP Data'!F4)&gt;0,"_Yes","No - "&amp;LEFT(F4,3))</f>
        <v>_Yes</v>
      </c>
      <c r="E4" s="7" t="s">
        <v>25</v>
      </c>
      <c r="F4" s="7" t="s">
        <v>26</v>
      </c>
      <c r="G4" s="7" t="s">
        <v>27</v>
      </c>
      <c r="H4" s="7" t="s">
        <v>35</v>
      </c>
      <c r="I4" s="7" t="s">
        <v>36</v>
      </c>
      <c r="J4" s="7" t="s">
        <v>0</v>
      </c>
      <c r="K4" s="7" t="s">
        <v>30</v>
      </c>
      <c r="L4" s="7" t="s">
        <v>31</v>
      </c>
      <c r="M4" s="7" t="s">
        <v>32</v>
      </c>
      <c r="N4" s="7" t="s">
        <v>33</v>
      </c>
      <c r="O4" s="7" t="s">
        <v>34</v>
      </c>
      <c r="P4" s="9">
        <v>12091.766885999999</v>
      </c>
      <c r="Q4" s="9">
        <v>14791.835007</v>
      </c>
      <c r="R4" s="9">
        <v>13880.261195999999</v>
      </c>
      <c r="S4" s="9">
        <v>15669.999395999999</v>
      </c>
      <c r="T4" s="6"/>
      <c r="U4" s="6"/>
      <c r="V4" s="6"/>
      <c r="W4" s="6"/>
      <c r="X4" s="6"/>
      <c r="Y4" s="6"/>
      <c r="Z4" s="6"/>
      <c r="AA4" s="6"/>
    </row>
    <row r="5" spans="2:27" ht="15" customHeight="1" thickBot="1" x14ac:dyDescent="0.9">
      <c r="B5" s="16">
        <v>512918.02</v>
      </c>
      <c r="C5" s="22" t="str">
        <f>IF(COUNTIF('Copperleaf Data'!O:O,'SAP Data'!F5)&gt;0,"_Yes","No - "&amp;LEFT(F5,3))</f>
        <v>_Yes</v>
      </c>
      <c r="E5" s="7" t="s">
        <v>25</v>
      </c>
      <c r="F5" s="7" t="s">
        <v>26</v>
      </c>
      <c r="G5" s="7" t="s">
        <v>27</v>
      </c>
      <c r="H5" s="7" t="s">
        <v>37</v>
      </c>
      <c r="I5" s="7" t="s">
        <v>38</v>
      </c>
      <c r="J5" s="7" t="s">
        <v>0</v>
      </c>
      <c r="K5" s="7" t="s">
        <v>30</v>
      </c>
      <c r="L5" s="7" t="s">
        <v>31</v>
      </c>
      <c r="M5" s="7" t="s">
        <v>32</v>
      </c>
      <c r="N5" s="7" t="s">
        <v>33</v>
      </c>
      <c r="O5" s="7" t="s">
        <v>34</v>
      </c>
      <c r="P5" s="9">
        <v>200175.18603300001</v>
      </c>
      <c r="Q5" s="9">
        <v>84586.576077000005</v>
      </c>
      <c r="R5" s="9">
        <v>85841.704989000005</v>
      </c>
      <c r="S5" s="9">
        <v>4698.6481350000004</v>
      </c>
      <c r="T5" s="6"/>
      <c r="U5" s="6"/>
      <c r="V5" s="6"/>
      <c r="W5" s="6"/>
      <c r="X5" s="6"/>
      <c r="Y5" s="6"/>
      <c r="Z5" s="6"/>
      <c r="AA5" s="6"/>
    </row>
    <row r="6" spans="2:27" ht="15" customHeight="1" thickBot="1" x14ac:dyDescent="0.9">
      <c r="B6" s="16">
        <v>822587.9</v>
      </c>
      <c r="C6" s="22" t="str">
        <f>IF(COUNTIF('Copperleaf Data'!O:O,'SAP Data'!F6)&gt;0,"_Yes","No - "&amp;LEFT(F6,3))</f>
        <v>_Yes</v>
      </c>
      <c r="E6" s="7" t="s">
        <v>25</v>
      </c>
      <c r="F6" s="7" t="s">
        <v>26</v>
      </c>
      <c r="G6" s="7" t="s">
        <v>27</v>
      </c>
      <c r="H6" s="7" t="s">
        <v>39</v>
      </c>
      <c r="I6" s="7" t="s">
        <v>40</v>
      </c>
      <c r="J6" s="7" t="s">
        <v>0</v>
      </c>
      <c r="K6" s="7" t="s">
        <v>30</v>
      </c>
      <c r="L6" s="7" t="s">
        <v>31</v>
      </c>
      <c r="M6" s="7" t="s">
        <v>32</v>
      </c>
      <c r="N6" s="7" t="s">
        <v>33</v>
      </c>
      <c r="O6" s="7" t="s">
        <v>34</v>
      </c>
      <c r="P6" s="9">
        <v>142161.50276100001</v>
      </c>
      <c r="Q6" s="9">
        <v>158698.68372900001</v>
      </c>
      <c r="R6" s="9">
        <v>116929.53801</v>
      </c>
      <c r="S6" s="9">
        <v>184097.84193</v>
      </c>
      <c r="T6" s="6"/>
      <c r="U6" s="6"/>
      <c r="V6" s="6"/>
      <c r="W6" s="6"/>
      <c r="X6" s="5"/>
      <c r="Y6" s="5"/>
      <c r="Z6" s="5"/>
      <c r="AA6" s="5"/>
    </row>
    <row r="7" spans="2:27" ht="15" customHeight="1" thickBot="1" x14ac:dyDescent="0.9">
      <c r="B7" s="16">
        <v>598.62</v>
      </c>
      <c r="C7" s="22" t="str">
        <f>IF(COUNTIF('Copperleaf Data'!O:O,'SAP Data'!F7)&gt;0,"_Yes","No - "&amp;LEFT(F7,3))</f>
        <v>_Yes</v>
      </c>
      <c r="E7" s="7" t="s">
        <v>25</v>
      </c>
      <c r="F7" s="7" t="s">
        <v>26</v>
      </c>
      <c r="G7" s="7" t="s">
        <v>27</v>
      </c>
      <c r="H7" s="7" t="s">
        <v>41</v>
      </c>
      <c r="I7" s="7" t="s">
        <v>42</v>
      </c>
      <c r="J7" s="7" t="s">
        <v>0</v>
      </c>
      <c r="K7" s="7" t="s">
        <v>30</v>
      </c>
      <c r="L7" s="7" t="s">
        <v>31</v>
      </c>
      <c r="M7" s="7" t="s">
        <v>32</v>
      </c>
      <c r="N7" s="7" t="s">
        <v>33</v>
      </c>
      <c r="O7" s="7" t="s">
        <v>34</v>
      </c>
      <c r="P7" s="9">
        <v>0</v>
      </c>
      <c r="Q7" s="9">
        <v>0</v>
      </c>
      <c r="R7" s="9">
        <v>0</v>
      </c>
      <c r="S7" s="9">
        <v>438.01025399999997</v>
      </c>
      <c r="T7" s="5"/>
      <c r="U7" s="5"/>
      <c r="V7" s="5"/>
      <c r="W7" s="6"/>
      <c r="X7" s="5"/>
      <c r="Y7" s="5"/>
      <c r="Z7" s="5"/>
      <c r="AA7" s="6"/>
    </row>
    <row r="8" spans="2:27" ht="15" customHeight="1" thickBot="1" x14ac:dyDescent="0.9">
      <c r="B8" s="16">
        <v>49000</v>
      </c>
      <c r="C8" s="22" t="str">
        <f>IF(COUNTIF('Copperleaf Data'!O:O,'SAP Data'!F8)&gt;0,"_Yes","No - "&amp;LEFT(F8,3))</f>
        <v>_Yes</v>
      </c>
      <c r="E8" s="7" t="s">
        <v>25</v>
      </c>
      <c r="F8" s="7" t="s">
        <v>26</v>
      </c>
      <c r="G8" s="7" t="s">
        <v>27</v>
      </c>
      <c r="H8" s="7" t="s">
        <v>43</v>
      </c>
      <c r="I8" s="7" t="s">
        <v>44</v>
      </c>
      <c r="J8" s="7" t="s">
        <v>0</v>
      </c>
      <c r="K8" s="7" t="s">
        <v>30</v>
      </c>
      <c r="L8" s="7" t="s">
        <v>31</v>
      </c>
      <c r="M8" s="7" t="s">
        <v>32</v>
      </c>
      <c r="N8" s="7" t="s">
        <v>33</v>
      </c>
      <c r="O8" s="7" t="s">
        <v>34</v>
      </c>
      <c r="P8" s="9">
        <v>0</v>
      </c>
      <c r="Q8" s="9">
        <v>0</v>
      </c>
      <c r="R8" s="9">
        <v>19755.900000000001</v>
      </c>
      <c r="S8" s="9">
        <v>16097.4</v>
      </c>
      <c r="T8" s="6"/>
      <c r="U8" s="5"/>
      <c r="V8" s="5"/>
      <c r="W8" s="5"/>
      <c r="X8" s="6"/>
      <c r="Y8" s="6"/>
      <c r="Z8" s="6"/>
      <c r="AA8" s="5"/>
    </row>
    <row r="9" spans="2:27" ht="15" customHeight="1" thickBot="1" x14ac:dyDescent="0.9">
      <c r="B9" s="16">
        <v>-4082340.0100000021</v>
      </c>
      <c r="C9" s="22" t="str">
        <f>IF(COUNTIF('Copperleaf Data'!O:O,'SAP Data'!F9)&gt;0,"_Yes","No - "&amp;LEFT(F9,3))</f>
        <v>_Yes</v>
      </c>
      <c r="E9" s="7" t="s">
        <v>25</v>
      </c>
      <c r="F9" s="7" t="s">
        <v>26</v>
      </c>
      <c r="G9" s="7" t="s">
        <v>27</v>
      </c>
      <c r="H9" s="7" t="s">
        <v>45</v>
      </c>
      <c r="I9" s="7" t="s">
        <v>46</v>
      </c>
      <c r="J9" s="7" t="s">
        <v>0</v>
      </c>
      <c r="K9" s="7" t="s">
        <v>30</v>
      </c>
      <c r="L9" s="7" t="s">
        <v>31</v>
      </c>
      <c r="M9" s="7" t="s">
        <v>32</v>
      </c>
      <c r="N9" s="7" t="s">
        <v>33</v>
      </c>
      <c r="O9" s="7" t="s">
        <v>34</v>
      </c>
      <c r="P9" s="9">
        <v>2279119.3110179999</v>
      </c>
      <c r="Q9" s="9">
        <v>1842098.3446859999</v>
      </c>
      <c r="R9" s="9">
        <v>-11306863.376576999</v>
      </c>
      <c r="S9" s="9">
        <v>4198597.5355559997</v>
      </c>
      <c r="T9" s="5"/>
      <c r="U9" s="5"/>
      <c r="V9" s="5"/>
      <c r="W9" s="5"/>
      <c r="X9" s="5"/>
      <c r="Y9" s="5"/>
      <c r="Z9" s="5"/>
      <c r="AA9" s="5"/>
    </row>
    <row r="10" spans="2:27" ht="15" customHeight="1" thickBot="1" x14ac:dyDescent="0.9">
      <c r="B10" s="16">
        <v>52897.09</v>
      </c>
      <c r="C10" s="22" t="str">
        <f>IF(COUNTIF('Copperleaf Data'!O:O,'SAP Data'!F10)&gt;0,"_Yes","No - "&amp;LEFT(F10,3))</f>
        <v>_Yes</v>
      </c>
      <c r="E10" s="7" t="s">
        <v>25</v>
      </c>
      <c r="F10" s="7" t="s">
        <v>26</v>
      </c>
      <c r="G10" s="7" t="s">
        <v>27</v>
      </c>
      <c r="H10" s="7" t="s">
        <v>47</v>
      </c>
      <c r="I10" s="7" t="s">
        <v>48</v>
      </c>
      <c r="J10" s="7" t="s">
        <v>0</v>
      </c>
      <c r="K10" s="7" t="s">
        <v>30</v>
      </c>
      <c r="L10" s="7" t="s">
        <v>31</v>
      </c>
      <c r="M10" s="7" t="s">
        <v>32</v>
      </c>
      <c r="N10" s="7" t="s">
        <v>33</v>
      </c>
      <c r="O10" s="7" t="s">
        <v>34</v>
      </c>
      <c r="P10" s="9">
        <v>8048.7</v>
      </c>
      <c r="Q10" s="9">
        <v>1463.4</v>
      </c>
      <c r="R10" s="9">
        <v>24490.123389</v>
      </c>
      <c r="S10" s="9">
        <v>4702.5773639999998</v>
      </c>
      <c r="T10" s="6"/>
      <c r="U10" s="6"/>
      <c r="V10" s="6"/>
      <c r="W10" s="6"/>
      <c r="X10" s="6"/>
      <c r="Y10" s="6"/>
      <c r="Z10" s="6"/>
      <c r="AA10" s="6"/>
    </row>
    <row r="11" spans="2:27" ht="15" customHeight="1" thickBot="1" x14ac:dyDescent="0.9">
      <c r="B11" s="16">
        <v>4111458.59</v>
      </c>
      <c r="C11" s="22" t="str">
        <f>IF(COUNTIF('Copperleaf Data'!O:O,'SAP Data'!F11)&gt;0,"_Yes","No - "&amp;LEFT(F11,3))</f>
        <v>_Yes</v>
      </c>
      <c r="E11" s="7" t="s">
        <v>25</v>
      </c>
      <c r="F11" s="7" t="s">
        <v>26</v>
      </c>
      <c r="G11" s="7" t="s">
        <v>27</v>
      </c>
      <c r="H11" s="7" t="s">
        <v>49</v>
      </c>
      <c r="I11" s="7" t="s">
        <v>48</v>
      </c>
      <c r="J11" s="7" t="s">
        <v>0</v>
      </c>
      <c r="K11" s="7" t="s">
        <v>30</v>
      </c>
      <c r="L11" s="7" t="s">
        <v>31</v>
      </c>
      <c r="M11" s="7" t="s">
        <v>32</v>
      </c>
      <c r="N11" s="7" t="s">
        <v>33</v>
      </c>
      <c r="O11" s="7" t="s">
        <v>34</v>
      </c>
      <c r="P11" s="8">
        <v>0</v>
      </c>
      <c r="Q11" s="8">
        <v>0</v>
      </c>
      <c r="R11" s="9">
        <v>3008354.2503030002</v>
      </c>
      <c r="S11" s="8">
        <v>0</v>
      </c>
      <c r="T11" s="6"/>
      <c r="U11" s="6"/>
      <c r="V11" s="6"/>
      <c r="W11" s="6"/>
      <c r="X11" s="6"/>
      <c r="Y11" s="6"/>
      <c r="Z11" s="6"/>
      <c r="AA11" s="6"/>
    </row>
    <row r="12" spans="2:27" ht="15" customHeight="1" thickBot="1" x14ac:dyDescent="0.9">
      <c r="B12" s="16">
        <v>1071733.5</v>
      </c>
      <c r="C12" s="22" t="str">
        <f>IF(COUNTIF('Copperleaf Data'!O:O,'SAP Data'!F12)&gt;0,"_Yes","No - "&amp;LEFT(F12,3))</f>
        <v>_Yes</v>
      </c>
      <c r="E12" s="7" t="s">
        <v>25</v>
      </c>
      <c r="F12" s="7" t="s">
        <v>26</v>
      </c>
      <c r="G12" s="7" t="s">
        <v>27</v>
      </c>
      <c r="H12" s="7" t="s">
        <v>50</v>
      </c>
      <c r="I12" s="7" t="s">
        <v>51</v>
      </c>
      <c r="J12" s="7" t="s">
        <v>0</v>
      </c>
      <c r="K12" s="7" t="s">
        <v>30</v>
      </c>
      <c r="L12" s="7" t="s">
        <v>31</v>
      </c>
      <c r="M12" s="7" t="s">
        <v>32</v>
      </c>
      <c r="N12" s="7" t="s">
        <v>33</v>
      </c>
      <c r="O12" s="7" t="s">
        <v>34</v>
      </c>
      <c r="P12" s="9">
        <v>732.768282</v>
      </c>
      <c r="Q12" s="9">
        <v>593.75259900000003</v>
      </c>
      <c r="R12" s="9">
        <v>781656.10775099997</v>
      </c>
      <c r="S12" s="9">
        <v>1204.773318</v>
      </c>
      <c r="T12" s="6"/>
      <c r="U12" s="6"/>
      <c r="V12" s="6"/>
      <c r="W12" s="6"/>
      <c r="X12" s="6"/>
      <c r="Y12" s="6"/>
      <c r="Z12" s="6"/>
      <c r="AA12" s="6"/>
    </row>
    <row r="13" spans="2:27" ht="15" customHeight="1" thickBot="1" x14ac:dyDescent="0.9">
      <c r="B13" s="16">
        <v>-12094</v>
      </c>
      <c r="C13" s="22" t="str">
        <f>IF(COUNTIF('Copperleaf Data'!O:O,'SAP Data'!F13)&gt;0,"_Yes","No - "&amp;LEFT(F13,3))</f>
        <v>_Yes</v>
      </c>
      <c r="E13" s="7" t="s">
        <v>25</v>
      </c>
      <c r="F13" s="7" t="s">
        <v>26</v>
      </c>
      <c r="G13" s="7" t="s">
        <v>27</v>
      </c>
      <c r="H13" s="7" t="s">
        <v>52</v>
      </c>
      <c r="I13" s="7" t="s">
        <v>53</v>
      </c>
      <c r="J13" s="7" t="s">
        <v>0</v>
      </c>
      <c r="K13" s="7" t="s">
        <v>30</v>
      </c>
      <c r="L13" s="7" t="s">
        <v>31</v>
      </c>
      <c r="M13" s="7" t="s">
        <v>32</v>
      </c>
      <c r="N13" s="7" t="s">
        <v>33</v>
      </c>
      <c r="O13" s="7" t="s">
        <v>34</v>
      </c>
      <c r="P13" s="8">
        <v>0</v>
      </c>
      <c r="Q13" s="9">
        <v>-8849.1797999999999</v>
      </c>
      <c r="R13" s="8">
        <v>0</v>
      </c>
      <c r="S13" s="8">
        <v>0</v>
      </c>
      <c r="T13" s="5"/>
      <c r="U13" s="6"/>
      <c r="V13" s="5"/>
      <c r="W13" s="5"/>
      <c r="X13" s="5"/>
      <c r="Y13" s="5"/>
      <c r="Z13" s="5"/>
      <c r="AA13" s="6"/>
    </row>
    <row r="14" spans="2:27" ht="15" customHeight="1" thickBot="1" x14ac:dyDescent="0.9">
      <c r="B14" s="16">
        <v>6325495</v>
      </c>
      <c r="C14" s="22" t="str">
        <f>IF(COUNTIF('Copperleaf Data'!O:O,'SAP Data'!F14)&gt;0,"_Yes","No - "&amp;LEFT(F14,3))</f>
        <v>_Yes</v>
      </c>
      <c r="E14" s="7" t="s">
        <v>25</v>
      </c>
      <c r="F14" s="7" t="s">
        <v>26</v>
      </c>
      <c r="G14" s="7" t="s">
        <v>27</v>
      </c>
      <c r="H14" s="7" t="s">
        <v>54</v>
      </c>
      <c r="I14" s="7" t="s">
        <v>55</v>
      </c>
      <c r="J14" s="7" t="s">
        <v>0</v>
      </c>
      <c r="K14" s="7" t="s">
        <v>30</v>
      </c>
      <c r="L14" s="7" t="s">
        <v>31</v>
      </c>
      <c r="M14" s="7" t="s">
        <v>32</v>
      </c>
      <c r="N14" s="7" t="s">
        <v>33</v>
      </c>
      <c r="O14" s="7" t="s">
        <v>34</v>
      </c>
      <c r="P14" s="9">
        <v>557319.06090000004</v>
      </c>
      <c r="Q14" s="9">
        <v>1277045.5220999999</v>
      </c>
      <c r="R14" s="9">
        <v>1277045.5220999999</v>
      </c>
      <c r="S14" s="9">
        <v>1516954.5863999999</v>
      </c>
      <c r="T14" s="5"/>
      <c r="U14" s="5"/>
      <c r="V14" s="5"/>
      <c r="W14" s="6"/>
      <c r="X14" s="5"/>
      <c r="Y14" s="5"/>
      <c r="Z14" s="5"/>
      <c r="AA14" s="6"/>
    </row>
    <row r="15" spans="2:27" ht="15" customHeight="1" thickBot="1" x14ac:dyDescent="0.9">
      <c r="B15" s="16">
        <v>10769281.02</v>
      </c>
      <c r="C15" s="22" t="str">
        <f>IF(COUNTIF('Copperleaf Data'!O:O,'SAP Data'!F15)&gt;0,"_Yes","No - "&amp;LEFT(F15,3))</f>
        <v>_Yes</v>
      </c>
      <c r="E15" s="7" t="s">
        <v>25</v>
      </c>
      <c r="F15" s="7" t="s">
        <v>26</v>
      </c>
      <c r="G15" s="7" t="s">
        <v>27</v>
      </c>
      <c r="H15" s="7" t="s">
        <v>56</v>
      </c>
      <c r="I15" s="7" t="s">
        <v>46</v>
      </c>
      <c r="J15" s="7" t="s">
        <v>0</v>
      </c>
      <c r="K15" s="7" t="s">
        <v>30</v>
      </c>
      <c r="L15" s="7" t="s">
        <v>31</v>
      </c>
      <c r="M15" s="7" t="s">
        <v>32</v>
      </c>
      <c r="N15" s="7" t="s">
        <v>33</v>
      </c>
      <c r="O15" s="7" t="s">
        <v>34</v>
      </c>
      <c r="P15" s="8">
        <v>0</v>
      </c>
      <c r="Q15" s="8">
        <v>0</v>
      </c>
      <c r="R15" s="9">
        <v>9564617.2479929999</v>
      </c>
      <c r="S15" s="9">
        <v>-1684734.3256590001</v>
      </c>
      <c r="T15" s="6"/>
      <c r="U15" s="6"/>
      <c r="V15" s="6"/>
      <c r="W15" s="6"/>
      <c r="X15" s="6"/>
      <c r="Y15" s="6"/>
      <c r="Z15" s="6"/>
      <c r="AA15" s="6"/>
    </row>
    <row r="16" spans="2:27" ht="15" customHeight="1" thickBot="1" x14ac:dyDescent="0.9">
      <c r="B16" s="16">
        <v>11873.44</v>
      </c>
      <c r="C16" s="22" t="str">
        <f>IF(COUNTIF('Copperleaf Data'!O:O,'SAP Data'!F16)&gt;0,"_Yes","No - "&amp;LEFT(F16,3))</f>
        <v>_Yes</v>
      </c>
      <c r="E16" s="7" t="s">
        <v>25</v>
      </c>
      <c r="F16" s="7" t="s">
        <v>57</v>
      </c>
      <c r="G16" s="7" t="s">
        <v>58</v>
      </c>
      <c r="H16" s="7" t="s">
        <v>59</v>
      </c>
      <c r="I16" s="7" t="s">
        <v>36</v>
      </c>
      <c r="J16" s="7" t="s">
        <v>0</v>
      </c>
      <c r="K16" s="7" t="s">
        <v>60</v>
      </c>
      <c r="L16" s="7" t="s">
        <v>61</v>
      </c>
      <c r="M16" s="7" t="s">
        <v>62</v>
      </c>
      <c r="N16" s="7" t="s">
        <v>33</v>
      </c>
      <c r="O16" s="7" t="s">
        <v>34</v>
      </c>
      <c r="P16" s="9">
        <v>501.59498400000001</v>
      </c>
      <c r="Q16" s="9">
        <v>1152.251892</v>
      </c>
      <c r="R16" s="9">
        <v>5871.2266529999997</v>
      </c>
      <c r="S16" s="9">
        <v>1162.7225189999999</v>
      </c>
      <c r="T16" s="6"/>
      <c r="U16" s="6"/>
      <c r="V16" s="6"/>
      <c r="W16" s="6"/>
      <c r="X16" s="6"/>
      <c r="Y16" s="6"/>
      <c r="Z16" s="6"/>
      <c r="AA16" s="6"/>
    </row>
    <row r="17" spans="2:27" ht="15" customHeight="1" thickBot="1" x14ac:dyDescent="0.9">
      <c r="B17" s="16">
        <v>25765.39</v>
      </c>
      <c r="C17" s="22" t="str">
        <f>IF(COUNTIF('Copperleaf Data'!O:O,'SAP Data'!F17)&gt;0,"_Yes","No - "&amp;LEFT(F17,3))</f>
        <v>_Yes</v>
      </c>
      <c r="E17" s="7" t="s">
        <v>25</v>
      </c>
      <c r="F17" s="7" t="s">
        <v>57</v>
      </c>
      <c r="G17" s="7" t="s">
        <v>58</v>
      </c>
      <c r="H17" s="7" t="s">
        <v>63</v>
      </c>
      <c r="I17" s="7" t="s">
        <v>38</v>
      </c>
      <c r="J17" s="7" t="s">
        <v>0</v>
      </c>
      <c r="K17" s="7" t="s">
        <v>60</v>
      </c>
      <c r="L17" s="7" t="s">
        <v>61</v>
      </c>
      <c r="M17" s="7" t="s">
        <v>62</v>
      </c>
      <c r="N17" s="7" t="s">
        <v>33</v>
      </c>
      <c r="O17" s="7" t="s">
        <v>34</v>
      </c>
      <c r="P17" s="9">
        <v>4404.2486399999998</v>
      </c>
      <c r="Q17" s="9">
        <v>5122.3975559999999</v>
      </c>
      <c r="R17" s="9">
        <v>5242.7841570000001</v>
      </c>
      <c r="S17" s="9">
        <v>4083.1055099999999</v>
      </c>
      <c r="T17" s="6"/>
      <c r="U17" s="6"/>
      <c r="V17" s="6"/>
      <c r="W17" s="6"/>
      <c r="X17" s="5"/>
      <c r="Y17" s="6"/>
      <c r="Z17" s="5"/>
      <c r="AA17" s="5"/>
    </row>
    <row r="18" spans="2:27" ht="15" customHeight="1" thickBot="1" x14ac:dyDescent="0.9">
      <c r="B18" s="16">
        <v>43055.39</v>
      </c>
      <c r="C18" s="22" t="str">
        <f>IF(COUNTIF('Copperleaf Data'!O:O,'SAP Data'!F18)&gt;0,"_Yes","No - "&amp;LEFT(F18,3))</f>
        <v>_Yes</v>
      </c>
      <c r="E18" s="7" t="s">
        <v>25</v>
      </c>
      <c r="F18" s="7" t="s">
        <v>57</v>
      </c>
      <c r="G18" s="7" t="s">
        <v>58</v>
      </c>
      <c r="H18" s="7" t="s">
        <v>64</v>
      </c>
      <c r="I18" s="7" t="s">
        <v>40</v>
      </c>
      <c r="J18" s="7" t="s">
        <v>0</v>
      </c>
      <c r="K18" s="7" t="s">
        <v>60</v>
      </c>
      <c r="L18" s="7" t="s">
        <v>61</v>
      </c>
      <c r="M18" s="7" t="s">
        <v>62</v>
      </c>
      <c r="N18" s="7" t="s">
        <v>33</v>
      </c>
      <c r="O18" s="7" t="s">
        <v>34</v>
      </c>
      <c r="P18" s="9">
        <v>7317.3658500000001</v>
      </c>
      <c r="Q18" s="9">
        <v>6243.7351230000004</v>
      </c>
      <c r="R18" s="9">
        <v>7459.6449149999999</v>
      </c>
      <c r="S18" s="9">
        <v>10482.882975</v>
      </c>
      <c r="T18" s="5"/>
      <c r="U18" s="5"/>
      <c r="V18" s="5"/>
      <c r="W18" s="5"/>
      <c r="X18" s="5"/>
      <c r="Y18" s="5"/>
      <c r="Z18" s="5"/>
      <c r="AA18" s="5"/>
    </row>
    <row r="19" spans="2:27" ht="15" customHeight="1" thickBot="1" x14ac:dyDescent="0.9">
      <c r="B19" s="16">
        <v>327300.04999999987</v>
      </c>
      <c r="C19" s="22" t="str">
        <f>IF(COUNTIF('Copperleaf Data'!O:O,'SAP Data'!F19)&gt;0,"_Yes","No - "&amp;LEFT(F19,3))</f>
        <v>_Yes</v>
      </c>
      <c r="E19" s="7" t="s">
        <v>25</v>
      </c>
      <c r="F19" s="7" t="s">
        <v>57</v>
      </c>
      <c r="G19" s="7" t="s">
        <v>58</v>
      </c>
      <c r="H19" s="7" t="s">
        <v>65</v>
      </c>
      <c r="I19" s="7" t="s">
        <v>44</v>
      </c>
      <c r="J19" s="7" t="s">
        <v>0</v>
      </c>
      <c r="K19" s="7" t="s">
        <v>60</v>
      </c>
      <c r="L19" s="7" t="s">
        <v>61</v>
      </c>
      <c r="M19" s="7" t="s">
        <v>62</v>
      </c>
      <c r="N19" s="7" t="s">
        <v>33</v>
      </c>
      <c r="O19" s="7" t="s">
        <v>34</v>
      </c>
      <c r="P19" s="9">
        <v>88066.277864999996</v>
      </c>
      <c r="Q19" s="9">
        <v>55671.687180000001</v>
      </c>
      <c r="R19" s="9">
        <v>59284.792512</v>
      </c>
      <c r="S19" s="9">
        <v>36462.689028000001</v>
      </c>
      <c r="T19" s="5"/>
      <c r="U19" s="5"/>
      <c r="V19" s="5"/>
      <c r="W19" s="5"/>
      <c r="X19" s="5"/>
      <c r="Y19" s="5"/>
      <c r="Z19" s="5"/>
      <c r="AA19" s="5"/>
    </row>
    <row r="20" spans="2:27" ht="15" customHeight="1" thickBot="1" x14ac:dyDescent="0.9">
      <c r="B20" s="16">
        <v>31398.400000000001</v>
      </c>
      <c r="C20" s="22" t="str">
        <f>IF(COUNTIF('Copperleaf Data'!O:O,'SAP Data'!F20)&gt;0,"_Yes","No - "&amp;LEFT(F20,3))</f>
        <v>_Yes</v>
      </c>
      <c r="E20" s="7" t="s">
        <v>25</v>
      </c>
      <c r="F20" s="7" t="s">
        <v>57</v>
      </c>
      <c r="G20" s="7" t="s">
        <v>58</v>
      </c>
      <c r="H20" s="7" t="s">
        <v>66</v>
      </c>
      <c r="I20" s="7" t="s">
        <v>48</v>
      </c>
      <c r="J20" s="7" t="s">
        <v>0</v>
      </c>
      <c r="K20" s="7" t="s">
        <v>60</v>
      </c>
      <c r="L20" s="7" t="s">
        <v>61</v>
      </c>
      <c r="M20" s="7" t="s">
        <v>62</v>
      </c>
      <c r="N20" s="7" t="s">
        <v>33</v>
      </c>
      <c r="O20" s="7" t="s">
        <v>34</v>
      </c>
      <c r="P20" s="9">
        <v>22974.209279999999</v>
      </c>
      <c r="Q20" s="8">
        <v>0</v>
      </c>
      <c r="R20" s="8">
        <v>0</v>
      </c>
      <c r="S20" s="8">
        <v>0</v>
      </c>
      <c r="T20" s="5"/>
      <c r="U20" s="5"/>
      <c r="V20" s="5"/>
      <c r="W20" s="5"/>
      <c r="X20" s="5"/>
      <c r="Y20" s="5"/>
      <c r="Z20" s="5"/>
      <c r="AA20" s="5"/>
    </row>
    <row r="21" spans="2:27" ht="15" customHeight="1" thickBot="1" x14ac:dyDescent="0.9">
      <c r="B21" s="16">
        <v>-66658.8</v>
      </c>
      <c r="C21" s="22" t="str">
        <f>IF(COUNTIF('Copperleaf Data'!O:O,'SAP Data'!F21)&gt;0,"_Yes","No - "&amp;LEFT(F21,3))</f>
        <v>_Yes</v>
      </c>
      <c r="E21" s="7" t="s">
        <v>25</v>
      </c>
      <c r="F21" s="7" t="s">
        <v>67</v>
      </c>
      <c r="G21" s="7" t="s">
        <v>68</v>
      </c>
      <c r="H21" s="7" t="s">
        <v>69</v>
      </c>
      <c r="I21" s="7" t="s">
        <v>70</v>
      </c>
      <c r="J21" s="7" t="s">
        <v>0</v>
      </c>
      <c r="K21" s="7" t="s">
        <v>71</v>
      </c>
      <c r="L21" s="7" t="s">
        <v>72</v>
      </c>
      <c r="M21" s="7" t="s">
        <v>73</v>
      </c>
      <c r="N21" s="7" t="s">
        <v>74</v>
      </c>
      <c r="O21" s="7" t="s">
        <v>75</v>
      </c>
      <c r="P21" s="9">
        <v>8751.292974</v>
      </c>
      <c r="Q21" s="9">
        <v>1065.9844619999999</v>
      </c>
      <c r="R21" s="9">
        <v>-58591.521395999996</v>
      </c>
      <c r="S21" s="8">
        <v>0</v>
      </c>
      <c r="T21" s="5"/>
      <c r="U21" s="5"/>
      <c r="V21" s="5"/>
      <c r="W21" s="5"/>
      <c r="X21" s="5"/>
      <c r="Y21" s="5"/>
      <c r="Z21" s="5"/>
      <c r="AA21" s="5"/>
    </row>
    <row r="22" spans="2:27" ht="15" customHeight="1" thickBot="1" x14ac:dyDescent="0.9">
      <c r="B22" s="16">
        <v>-26413.59</v>
      </c>
      <c r="C22" s="22" t="str">
        <f>IF(COUNTIF('Copperleaf Data'!O:O,'SAP Data'!F22)&gt;0,"_Yes","No - "&amp;LEFT(F22,3))</f>
        <v>_Yes</v>
      </c>
      <c r="E22" s="7" t="s">
        <v>25</v>
      </c>
      <c r="F22" s="7" t="s">
        <v>67</v>
      </c>
      <c r="G22" s="7" t="s">
        <v>68</v>
      </c>
      <c r="H22" s="7" t="s">
        <v>76</v>
      </c>
      <c r="I22" s="7" t="s">
        <v>77</v>
      </c>
      <c r="J22" s="7" t="s">
        <v>0</v>
      </c>
      <c r="K22" s="7" t="s">
        <v>71</v>
      </c>
      <c r="L22" s="7" t="s">
        <v>72</v>
      </c>
      <c r="M22" s="7" t="s">
        <v>73</v>
      </c>
      <c r="N22" s="7" t="s">
        <v>74</v>
      </c>
      <c r="O22" s="7" t="s">
        <v>75</v>
      </c>
      <c r="P22" s="8">
        <v>0</v>
      </c>
      <c r="Q22" s="8">
        <v>0</v>
      </c>
      <c r="R22" s="9">
        <v>-19326.823802999999</v>
      </c>
      <c r="S22" s="8">
        <v>0</v>
      </c>
      <c r="T22" s="5"/>
      <c r="U22" s="5"/>
      <c r="V22" s="5"/>
      <c r="W22" s="5"/>
      <c r="X22" s="5"/>
      <c r="Y22" s="5"/>
      <c r="Z22" s="5"/>
      <c r="AA22" s="5"/>
    </row>
    <row r="23" spans="2:27" ht="15" customHeight="1" thickBot="1" x14ac:dyDescent="0.9">
      <c r="B23" s="16">
        <v>-243120</v>
      </c>
      <c r="C23" s="22" t="str">
        <f>IF(COUNTIF('Copperleaf Data'!O:O,'SAP Data'!F23)&gt;0,"_Yes","No - "&amp;LEFT(F23,3))</f>
        <v>_Yes</v>
      </c>
      <c r="E23" s="7" t="s">
        <v>25</v>
      </c>
      <c r="F23" s="7" t="s">
        <v>67</v>
      </c>
      <c r="G23" s="7" t="s">
        <v>68</v>
      </c>
      <c r="H23" s="7" t="s">
        <v>78</v>
      </c>
      <c r="I23" s="7" t="s">
        <v>46</v>
      </c>
      <c r="J23" s="7" t="s">
        <v>0</v>
      </c>
      <c r="K23" s="7" t="s">
        <v>71</v>
      </c>
      <c r="L23" s="7" t="s">
        <v>72</v>
      </c>
      <c r="M23" s="7" t="s">
        <v>73</v>
      </c>
      <c r="N23" s="7" t="s">
        <v>74</v>
      </c>
      <c r="O23" s="7" t="s">
        <v>75</v>
      </c>
      <c r="P23" s="8">
        <v>0</v>
      </c>
      <c r="Q23" s="8">
        <v>0</v>
      </c>
      <c r="R23" s="9">
        <v>-177890.90400000001</v>
      </c>
      <c r="S23" s="8">
        <v>0</v>
      </c>
      <c r="T23" s="5"/>
      <c r="U23" s="5"/>
      <c r="V23" s="5"/>
      <c r="W23" s="5"/>
      <c r="X23" s="5"/>
      <c r="Y23" s="5"/>
      <c r="Z23" s="5"/>
      <c r="AA23" s="5"/>
    </row>
    <row r="24" spans="2:27" ht="15" customHeight="1" thickBot="1" x14ac:dyDescent="0.9">
      <c r="B24" s="16">
        <v>5142.2699999999968</v>
      </c>
      <c r="C24" s="22" t="str">
        <f>IF(COUNTIF('Copperleaf Data'!O:O,'SAP Data'!F24)&gt;0,"_Yes","No - "&amp;LEFT(F24,3))</f>
        <v>_Yes</v>
      </c>
      <c r="E24" s="7" t="s">
        <v>25</v>
      </c>
      <c r="F24" s="7" t="s">
        <v>67</v>
      </c>
      <c r="G24" s="7" t="s">
        <v>68</v>
      </c>
      <c r="H24" s="7" t="s">
        <v>79</v>
      </c>
      <c r="I24" s="7" t="s">
        <v>80</v>
      </c>
      <c r="J24" s="7" t="s">
        <v>0</v>
      </c>
      <c r="K24" s="7" t="s">
        <v>71</v>
      </c>
      <c r="L24" s="7" t="s">
        <v>72</v>
      </c>
      <c r="M24" s="7" t="s">
        <v>73</v>
      </c>
      <c r="N24" s="7" t="s">
        <v>74</v>
      </c>
      <c r="O24" s="7" t="s">
        <v>75</v>
      </c>
      <c r="P24" s="8">
        <v>0</v>
      </c>
      <c r="Q24" s="9">
        <v>43211.684952000003</v>
      </c>
      <c r="R24" s="9">
        <v>-39449.085993000001</v>
      </c>
      <c r="S24" s="8">
        <v>0</v>
      </c>
      <c r="T24" s="5"/>
      <c r="U24" s="5"/>
      <c r="V24" s="5"/>
      <c r="W24" s="5"/>
      <c r="X24" s="5"/>
      <c r="Y24" s="5"/>
      <c r="Z24" s="5"/>
      <c r="AA24" s="5"/>
    </row>
    <row r="25" spans="2:27" ht="15" customHeight="1" thickBot="1" x14ac:dyDescent="0.9">
      <c r="B25" s="16">
        <v>8035</v>
      </c>
      <c r="C25" s="22" t="str">
        <f>IF(COUNTIF('Copperleaf Data'!O:O,'SAP Data'!F25)&gt;0,"_Yes","No - "&amp;LEFT(F25,3))</f>
        <v>_Yes</v>
      </c>
      <c r="E25" s="7" t="s">
        <v>25</v>
      </c>
      <c r="F25" s="7" t="s">
        <v>67</v>
      </c>
      <c r="G25" s="7" t="s">
        <v>68</v>
      </c>
      <c r="H25" s="7" t="s">
        <v>81</v>
      </c>
      <c r="I25" s="7" t="s">
        <v>46</v>
      </c>
      <c r="J25" s="7" t="s">
        <v>0</v>
      </c>
      <c r="K25" s="7" t="s">
        <v>71</v>
      </c>
      <c r="L25" s="7" t="s">
        <v>72</v>
      </c>
      <c r="M25" s="7" t="s">
        <v>73</v>
      </c>
      <c r="N25" s="7" t="s">
        <v>74</v>
      </c>
      <c r="O25" s="7" t="s">
        <v>75</v>
      </c>
      <c r="P25" s="9">
        <v>5879.2094999999999</v>
      </c>
      <c r="Q25" s="8">
        <v>0</v>
      </c>
      <c r="R25" s="8">
        <v>0</v>
      </c>
      <c r="S25" s="8">
        <v>0</v>
      </c>
      <c r="T25" s="5"/>
      <c r="U25" s="5"/>
      <c r="V25" s="6"/>
      <c r="W25" s="5"/>
      <c r="X25" s="5"/>
      <c r="Y25" s="6"/>
      <c r="Z25" s="5"/>
      <c r="AA25" s="5"/>
    </row>
    <row r="26" spans="2:27" ht="15" customHeight="1" thickBot="1" x14ac:dyDescent="0.9">
      <c r="B26" s="16">
        <v>-18371.73</v>
      </c>
      <c r="C26" s="22" t="str">
        <f>IF(COUNTIF('Copperleaf Data'!O:O,'SAP Data'!F26)&gt;0,"_Yes","No - "&amp;LEFT(F26,3))</f>
        <v>_Yes</v>
      </c>
      <c r="E26" s="7" t="s">
        <v>25</v>
      </c>
      <c r="F26" s="7" t="s">
        <v>82</v>
      </c>
      <c r="G26" s="7" t="s">
        <v>83</v>
      </c>
      <c r="H26" s="7" t="s">
        <v>84</v>
      </c>
      <c r="I26" s="7" t="s">
        <v>29</v>
      </c>
      <c r="J26" s="7" t="s">
        <v>0</v>
      </c>
      <c r="K26" s="7" t="s">
        <v>85</v>
      </c>
      <c r="L26" s="7" t="s">
        <v>86</v>
      </c>
      <c r="M26" s="7" t="s">
        <v>87</v>
      </c>
      <c r="N26" s="7" t="s">
        <v>88</v>
      </c>
      <c r="O26" s="7" t="s">
        <v>89</v>
      </c>
      <c r="P26" s="9">
        <v>5754.498552</v>
      </c>
      <c r="Q26" s="9">
        <v>-6944.1403140000002</v>
      </c>
      <c r="R26" s="9">
        <v>-1861.5765060000001</v>
      </c>
      <c r="S26" s="9">
        <v>-10391.376573</v>
      </c>
      <c r="T26" s="5"/>
      <c r="U26" s="6"/>
      <c r="V26" s="5"/>
      <c r="W26" s="5"/>
      <c r="X26" s="5"/>
      <c r="Y26" s="5"/>
      <c r="Z26" s="5"/>
      <c r="AA26" s="5"/>
    </row>
    <row r="27" spans="2:27" ht="15" customHeight="1" thickBot="1" x14ac:dyDescent="0.9">
      <c r="B27" s="16">
        <v>142345.95000000001</v>
      </c>
      <c r="C27" s="22" t="str">
        <f>IF(COUNTIF('Copperleaf Data'!O:O,'SAP Data'!F27)&gt;0,"_Yes","No - "&amp;LEFT(F27,3))</f>
        <v>_Yes</v>
      </c>
      <c r="E27" s="7" t="s">
        <v>25</v>
      </c>
      <c r="F27" s="7" t="s">
        <v>82</v>
      </c>
      <c r="G27" s="7" t="s">
        <v>83</v>
      </c>
      <c r="H27" s="7" t="s">
        <v>90</v>
      </c>
      <c r="I27" s="7" t="s">
        <v>70</v>
      </c>
      <c r="J27" s="7" t="s">
        <v>0</v>
      </c>
      <c r="K27" s="7" t="s">
        <v>85</v>
      </c>
      <c r="L27" s="7" t="s">
        <v>86</v>
      </c>
      <c r="M27" s="7" t="s">
        <v>87</v>
      </c>
      <c r="N27" s="7" t="s">
        <v>88</v>
      </c>
      <c r="O27" s="7" t="s">
        <v>89</v>
      </c>
      <c r="P27" s="9">
        <v>29757.265839</v>
      </c>
      <c r="Q27" s="9">
        <v>22273.855307999998</v>
      </c>
      <c r="R27" s="9">
        <v>20374.362108000001</v>
      </c>
      <c r="S27" s="9">
        <v>31749.048360000001</v>
      </c>
      <c r="T27" s="5"/>
      <c r="U27" s="6"/>
      <c r="V27" s="5"/>
      <c r="W27" s="5"/>
      <c r="X27" s="5"/>
      <c r="Y27" s="5"/>
      <c r="Z27" s="5"/>
      <c r="AA27" s="5"/>
    </row>
    <row r="28" spans="2:27" ht="15" customHeight="1" thickBot="1" x14ac:dyDescent="0.9">
      <c r="B28" s="16">
        <v>16468.05</v>
      </c>
      <c r="C28" s="22" t="str">
        <f>IF(COUNTIF('Copperleaf Data'!O:O,'SAP Data'!F28)&gt;0,"_Yes","No - "&amp;LEFT(F28,3))</f>
        <v>_Yes</v>
      </c>
      <c r="E28" s="7" t="s">
        <v>25</v>
      </c>
      <c r="F28" s="7" t="s">
        <v>82</v>
      </c>
      <c r="G28" s="7" t="s">
        <v>83</v>
      </c>
      <c r="H28" s="7" t="s">
        <v>91</v>
      </c>
      <c r="I28" s="7" t="s">
        <v>36</v>
      </c>
      <c r="J28" s="7" t="s">
        <v>0</v>
      </c>
      <c r="K28" s="7" t="s">
        <v>85</v>
      </c>
      <c r="L28" s="7" t="s">
        <v>86</v>
      </c>
      <c r="M28" s="7" t="s">
        <v>87</v>
      </c>
      <c r="N28" s="7" t="s">
        <v>88</v>
      </c>
      <c r="O28" s="7" t="s">
        <v>89</v>
      </c>
      <c r="P28" s="9">
        <v>803.36269800000002</v>
      </c>
      <c r="Q28" s="9">
        <v>1751.9312609999999</v>
      </c>
      <c r="R28" s="9">
        <v>3963.2969520000001</v>
      </c>
      <c r="S28" s="9">
        <v>5531.0812740000001</v>
      </c>
      <c r="T28" s="5"/>
      <c r="U28" s="5"/>
      <c r="V28" s="6"/>
      <c r="W28" s="5"/>
      <c r="X28" s="5"/>
      <c r="Y28" s="5"/>
      <c r="Z28" s="5"/>
      <c r="AA28" s="5"/>
    </row>
    <row r="29" spans="2:27" ht="15" customHeight="1" thickBot="1" x14ac:dyDescent="0.9">
      <c r="B29" s="16">
        <v>250984.34</v>
      </c>
      <c r="C29" s="22" t="str">
        <f>IF(COUNTIF('Copperleaf Data'!O:O,'SAP Data'!F29)&gt;0,"_Yes","No - "&amp;LEFT(F29,3))</f>
        <v>_Yes</v>
      </c>
      <c r="E29" s="7" t="s">
        <v>25</v>
      </c>
      <c r="F29" s="7" t="s">
        <v>82</v>
      </c>
      <c r="G29" s="7" t="s">
        <v>83</v>
      </c>
      <c r="H29" s="7" t="s">
        <v>92</v>
      </c>
      <c r="I29" s="7" t="s">
        <v>77</v>
      </c>
      <c r="J29" s="7" t="s">
        <v>0</v>
      </c>
      <c r="K29" s="7" t="s">
        <v>85</v>
      </c>
      <c r="L29" s="7" t="s">
        <v>86</v>
      </c>
      <c r="M29" s="7" t="s">
        <v>87</v>
      </c>
      <c r="N29" s="7" t="s">
        <v>88</v>
      </c>
      <c r="O29" s="7" t="s">
        <v>89</v>
      </c>
      <c r="P29" s="9">
        <v>62851.771476000002</v>
      </c>
      <c r="Q29" s="9">
        <v>141136.01789399999</v>
      </c>
      <c r="R29" s="9">
        <v>-57085.324263000002</v>
      </c>
      <c r="S29" s="9">
        <v>36742.776470999997</v>
      </c>
      <c r="T29" s="5"/>
      <c r="U29" s="5"/>
      <c r="V29" s="5"/>
      <c r="W29" s="5"/>
      <c r="X29" s="5"/>
      <c r="Y29" s="5"/>
      <c r="Z29" s="5"/>
      <c r="AA29" s="6"/>
    </row>
    <row r="30" spans="2:27" ht="15" customHeight="1" thickBot="1" x14ac:dyDescent="0.9">
      <c r="B30" s="16">
        <v>374810.87</v>
      </c>
      <c r="C30" s="22" t="str">
        <f>IF(COUNTIF('Copperleaf Data'!O:O,'SAP Data'!F30)&gt;0,"_Yes","No - "&amp;LEFT(F30,3))</f>
        <v>_Yes</v>
      </c>
      <c r="E30" s="7" t="s">
        <v>25</v>
      </c>
      <c r="F30" s="7" t="s">
        <v>82</v>
      </c>
      <c r="G30" s="7" t="s">
        <v>83</v>
      </c>
      <c r="H30" s="7" t="s">
        <v>93</v>
      </c>
      <c r="I30" s="7" t="s">
        <v>40</v>
      </c>
      <c r="J30" s="7" t="s">
        <v>0</v>
      </c>
      <c r="K30" s="7" t="s">
        <v>85</v>
      </c>
      <c r="L30" s="7" t="s">
        <v>86</v>
      </c>
      <c r="M30" s="7" t="s">
        <v>87</v>
      </c>
      <c r="N30" s="7" t="s">
        <v>88</v>
      </c>
      <c r="O30" s="7" t="s">
        <v>89</v>
      </c>
      <c r="P30" s="9">
        <v>38553.236414999999</v>
      </c>
      <c r="Q30" s="9">
        <v>72348.425289000006</v>
      </c>
      <c r="R30" s="9">
        <v>57368.645819999998</v>
      </c>
      <c r="S30" s="9">
        <v>105978.80605499999</v>
      </c>
      <c r="T30" s="5"/>
      <c r="U30" s="5"/>
      <c r="V30" s="5"/>
      <c r="W30" s="5"/>
      <c r="X30" s="5"/>
      <c r="Y30" s="5"/>
      <c r="Z30" s="6"/>
      <c r="AA30" s="5"/>
    </row>
    <row r="31" spans="2:27" ht="15" customHeight="1" thickBot="1" x14ac:dyDescent="0.9">
      <c r="B31" s="16">
        <v>1663.75</v>
      </c>
      <c r="C31" s="22" t="str">
        <f>IF(COUNTIF('Copperleaf Data'!O:O,'SAP Data'!F31)&gt;0,"_Yes","No - "&amp;LEFT(F31,3))</f>
        <v>_Yes</v>
      </c>
      <c r="E31" s="7" t="s">
        <v>25</v>
      </c>
      <c r="F31" s="7" t="s">
        <v>82</v>
      </c>
      <c r="G31" s="7" t="s">
        <v>83</v>
      </c>
      <c r="H31" s="7" t="s">
        <v>94</v>
      </c>
      <c r="I31" s="7" t="s">
        <v>95</v>
      </c>
      <c r="J31" s="7" t="s">
        <v>0</v>
      </c>
      <c r="K31" s="7" t="s">
        <v>85</v>
      </c>
      <c r="L31" s="7" t="s">
        <v>86</v>
      </c>
      <c r="M31" s="7" t="s">
        <v>87</v>
      </c>
      <c r="N31" s="7" t="s">
        <v>88</v>
      </c>
      <c r="O31" s="7" t="s">
        <v>89</v>
      </c>
      <c r="P31" s="9">
        <v>459.939303</v>
      </c>
      <c r="Q31" s="9">
        <v>335.813715</v>
      </c>
      <c r="R31" s="9">
        <v>421.61285700000002</v>
      </c>
      <c r="S31" s="8">
        <v>0</v>
      </c>
      <c r="T31" s="5"/>
      <c r="U31" s="5"/>
      <c r="V31" s="6"/>
      <c r="W31" s="6"/>
      <c r="X31" s="5"/>
      <c r="Y31" s="6"/>
      <c r="Z31" s="6"/>
      <c r="AA31" s="5"/>
    </row>
    <row r="32" spans="2:27" ht="15" customHeight="1" thickBot="1" x14ac:dyDescent="0.9">
      <c r="B32" s="16">
        <v>3623</v>
      </c>
      <c r="C32" s="22" t="str">
        <f>IF(COUNTIF('Copperleaf Data'!O:O,'SAP Data'!F32)&gt;0,"_Yes","No - "&amp;LEFT(F32,3))</f>
        <v>_Yes</v>
      </c>
      <c r="E32" s="7" t="s">
        <v>25</v>
      </c>
      <c r="F32" s="7" t="s">
        <v>82</v>
      </c>
      <c r="G32" s="7" t="s">
        <v>83</v>
      </c>
      <c r="H32" s="7" t="s">
        <v>96</v>
      </c>
      <c r="I32" s="7" t="s">
        <v>97</v>
      </c>
      <c r="J32" s="7" t="s">
        <v>0</v>
      </c>
      <c r="K32" s="7" t="s">
        <v>85</v>
      </c>
      <c r="L32" s="7" t="s">
        <v>86</v>
      </c>
      <c r="M32" s="7" t="s">
        <v>87</v>
      </c>
      <c r="N32" s="7" t="s">
        <v>88</v>
      </c>
      <c r="O32" s="7" t="s">
        <v>89</v>
      </c>
      <c r="P32" s="8">
        <v>0</v>
      </c>
      <c r="Q32" s="9">
        <v>1553.3991000000001</v>
      </c>
      <c r="R32" s="9">
        <v>1097.55</v>
      </c>
      <c r="S32" s="8">
        <v>0</v>
      </c>
      <c r="T32" s="6"/>
      <c r="U32" s="6"/>
      <c r="V32" s="6"/>
      <c r="W32" s="6"/>
      <c r="X32" s="6"/>
      <c r="Y32" s="6"/>
      <c r="Z32" s="6"/>
      <c r="AA32" s="6"/>
    </row>
    <row r="33" spans="2:27" ht="15" customHeight="1" thickBot="1" x14ac:dyDescent="0.9">
      <c r="B33" s="16">
        <v>-16425</v>
      </c>
      <c r="C33" s="22" t="str">
        <f>IF(COUNTIF('Copperleaf Data'!O:O,'SAP Data'!F33)&gt;0,"_Yes","No - "&amp;LEFT(F33,3))</f>
        <v>_Yes</v>
      </c>
      <c r="E33" s="7" t="s">
        <v>25</v>
      </c>
      <c r="F33" s="7" t="s">
        <v>82</v>
      </c>
      <c r="G33" s="7" t="s">
        <v>83</v>
      </c>
      <c r="H33" s="7" t="s">
        <v>98</v>
      </c>
      <c r="I33" s="7" t="s">
        <v>99</v>
      </c>
      <c r="J33" s="7" t="s">
        <v>0</v>
      </c>
      <c r="K33" s="7" t="s">
        <v>85</v>
      </c>
      <c r="L33" s="7" t="s">
        <v>86</v>
      </c>
      <c r="M33" s="7" t="s">
        <v>87</v>
      </c>
      <c r="N33" s="7" t="s">
        <v>88</v>
      </c>
      <c r="O33" s="7" t="s">
        <v>89</v>
      </c>
      <c r="P33" s="9">
        <v>0</v>
      </c>
      <c r="Q33" s="9">
        <v>-12018.172500000001</v>
      </c>
      <c r="R33" s="9">
        <v>0</v>
      </c>
      <c r="S33" s="9">
        <v>0</v>
      </c>
      <c r="T33" s="5"/>
      <c r="U33" s="5"/>
      <c r="V33" s="6"/>
      <c r="W33" s="5"/>
      <c r="X33" s="5"/>
      <c r="Y33" s="5"/>
      <c r="Z33" s="6"/>
      <c r="AA33" s="5"/>
    </row>
    <row r="34" spans="2:27" ht="15" customHeight="1" thickBot="1" x14ac:dyDescent="0.9">
      <c r="B34" s="16">
        <v>12962.76</v>
      </c>
      <c r="C34" s="22" t="str">
        <f>IF(COUNTIF('Copperleaf Data'!O:O,'SAP Data'!F34)&gt;0,"_Yes","No - "&amp;LEFT(F34,3))</f>
        <v>_Yes</v>
      </c>
      <c r="E34" s="7" t="s">
        <v>25</v>
      </c>
      <c r="F34" s="7" t="s">
        <v>82</v>
      </c>
      <c r="G34" s="7" t="s">
        <v>83</v>
      </c>
      <c r="H34" s="7" t="s">
        <v>100</v>
      </c>
      <c r="I34" s="7" t="s">
        <v>42</v>
      </c>
      <c r="J34" s="7" t="s">
        <v>0</v>
      </c>
      <c r="K34" s="7" t="s">
        <v>85</v>
      </c>
      <c r="L34" s="7" t="s">
        <v>86</v>
      </c>
      <c r="M34" s="7" t="s">
        <v>87</v>
      </c>
      <c r="N34" s="7" t="s">
        <v>88</v>
      </c>
      <c r="O34" s="7" t="s">
        <v>89</v>
      </c>
      <c r="P34" s="9">
        <v>2073.4182900000001</v>
      </c>
      <c r="Q34" s="9">
        <v>4484.633202</v>
      </c>
      <c r="R34" s="9">
        <v>1463.4</v>
      </c>
      <c r="S34" s="9">
        <v>1463.4</v>
      </c>
      <c r="T34" s="6"/>
      <c r="U34" s="6"/>
      <c r="V34" s="6"/>
      <c r="W34" s="6"/>
      <c r="X34" s="6"/>
      <c r="Y34" s="6"/>
      <c r="Z34" s="6"/>
      <c r="AA34" s="6"/>
    </row>
    <row r="35" spans="2:27" ht="15" customHeight="1" thickBot="1" x14ac:dyDescent="0.9">
      <c r="B35" s="16">
        <v>55521.780000000013</v>
      </c>
      <c r="C35" s="22" t="str">
        <f>IF(COUNTIF('Copperleaf Data'!O:O,'SAP Data'!F35)&gt;0,"_Yes","No - "&amp;LEFT(F35,3))</f>
        <v>_Yes</v>
      </c>
      <c r="E35" s="7" t="s">
        <v>25</v>
      </c>
      <c r="F35" s="7" t="s">
        <v>82</v>
      </c>
      <c r="G35" s="7" t="s">
        <v>83</v>
      </c>
      <c r="H35" s="7" t="s">
        <v>101</v>
      </c>
      <c r="I35" s="7" t="s">
        <v>102</v>
      </c>
      <c r="J35" s="7" t="s">
        <v>0</v>
      </c>
      <c r="K35" s="7" t="s">
        <v>85</v>
      </c>
      <c r="L35" s="7" t="s">
        <v>86</v>
      </c>
      <c r="M35" s="7" t="s">
        <v>87</v>
      </c>
      <c r="N35" s="7" t="s">
        <v>88</v>
      </c>
      <c r="O35" s="7" t="s">
        <v>89</v>
      </c>
      <c r="P35" s="9">
        <v>4352.8833000000004</v>
      </c>
      <c r="Q35" s="9">
        <v>27460.627830000001</v>
      </c>
      <c r="R35" s="9">
        <v>4265.8768529999998</v>
      </c>
      <c r="S35" s="9">
        <v>4545.898443</v>
      </c>
      <c r="T35" s="5"/>
      <c r="U35" s="5"/>
      <c r="V35" s="5"/>
      <c r="W35" s="5"/>
      <c r="X35" s="5"/>
      <c r="Y35" s="5"/>
      <c r="Z35" s="5"/>
      <c r="AA35" s="5"/>
    </row>
    <row r="36" spans="2:27" ht="15" customHeight="1" thickBot="1" x14ac:dyDescent="0.9">
      <c r="B36" s="16">
        <v>63004</v>
      </c>
      <c r="C36" s="22" t="str">
        <f>IF(COUNTIF('Copperleaf Data'!O:O,'SAP Data'!F36)&gt;0,"_Yes","No - "&amp;LEFT(F36,3))</f>
        <v>_Yes</v>
      </c>
      <c r="E36" s="7" t="s">
        <v>25</v>
      </c>
      <c r="F36" s="7" t="s">
        <v>82</v>
      </c>
      <c r="G36" s="7" t="s">
        <v>83</v>
      </c>
      <c r="H36" s="7" t="s">
        <v>103</v>
      </c>
      <c r="I36" s="7" t="s">
        <v>44</v>
      </c>
      <c r="J36" s="7" t="s">
        <v>0</v>
      </c>
      <c r="K36" s="7" t="s">
        <v>85</v>
      </c>
      <c r="L36" s="7" t="s">
        <v>86</v>
      </c>
      <c r="M36" s="7" t="s">
        <v>87</v>
      </c>
      <c r="N36" s="7" t="s">
        <v>88</v>
      </c>
      <c r="O36" s="7" t="s">
        <v>89</v>
      </c>
      <c r="P36" s="9">
        <v>46100.0268</v>
      </c>
      <c r="Q36" s="9">
        <v>0</v>
      </c>
      <c r="R36" s="9">
        <v>0</v>
      </c>
      <c r="S36" s="9">
        <v>0</v>
      </c>
      <c r="T36" s="6"/>
      <c r="U36" s="6"/>
      <c r="V36" s="6"/>
      <c r="W36" s="6"/>
      <c r="X36" s="6"/>
      <c r="Y36" s="6"/>
      <c r="Z36" s="6"/>
      <c r="AA36" s="6"/>
    </row>
    <row r="37" spans="2:27" ht="15" customHeight="1" thickBot="1" x14ac:dyDescent="0.9">
      <c r="B37" s="16">
        <v>5188858.32</v>
      </c>
      <c r="C37" s="22" t="str">
        <f>IF(COUNTIF('Copperleaf Data'!O:O,'SAP Data'!F37)&gt;0,"_Yes","No - "&amp;LEFT(F37,3))</f>
        <v>_Yes</v>
      </c>
      <c r="E37" s="7" t="s">
        <v>25</v>
      </c>
      <c r="F37" s="7" t="s">
        <v>82</v>
      </c>
      <c r="G37" s="7" t="s">
        <v>83</v>
      </c>
      <c r="H37" s="7" t="s">
        <v>104</v>
      </c>
      <c r="I37" s="7" t="s">
        <v>48</v>
      </c>
      <c r="J37" s="7" t="s">
        <v>0</v>
      </c>
      <c r="K37" s="7" t="s">
        <v>85</v>
      </c>
      <c r="L37" s="7" t="s">
        <v>86</v>
      </c>
      <c r="M37" s="7" t="s">
        <v>87</v>
      </c>
      <c r="N37" s="7" t="s">
        <v>88</v>
      </c>
      <c r="O37" s="7" t="s">
        <v>89</v>
      </c>
      <c r="P37" s="9">
        <v>517071.35362499999</v>
      </c>
      <c r="Q37" s="9">
        <v>1478494.4661270001</v>
      </c>
      <c r="R37" s="9">
        <v>776033.68836599996</v>
      </c>
      <c r="S37" s="9">
        <v>1025088.1246259999</v>
      </c>
      <c r="T37" s="6"/>
      <c r="U37" s="6"/>
      <c r="V37" s="6"/>
      <c r="W37" s="6"/>
      <c r="X37" s="6"/>
      <c r="Y37" s="6"/>
      <c r="Z37" s="6"/>
      <c r="AA37" s="6"/>
    </row>
    <row r="38" spans="2:27" ht="15" customHeight="1" thickBot="1" x14ac:dyDescent="0.9">
      <c r="B38" s="16">
        <v>169824.58</v>
      </c>
      <c r="C38" s="22" t="str">
        <f>IF(COUNTIF('Copperleaf Data'!O:O,'SAP Data'!F38)&gt;0,"_Yes","No - "&amp;LEFT(F38,3))</f>
        <v>_Yes</v>
      </c>
      <c r="E38" s="7" t="s">
        <v>25</v>
      </c>
      <c r="F38" s="7" t="s">
        <v>82</v>
      </c>
      <c r="G38" s="7" t="s">
        <v>83</v>
      </c>
      <c r="H38" s="7" t="s">
        <v>105</v>
      </c>
      <c r="I38" s="7" t="s">
        <v>53</v>
      </c>
      <c r="J38" s="7" t="s">
        <v>0</v>
      </c>
      <c r="K38" s="7" t="s">
        <v>85</v>
      </c>
      <c r="L38" s="7" t="s">
        <v>86</v>
      </c>
      <c r="M38" s="7" t="s">
        <v>87</v>
      </c>
      <c r="N38" s="7" t="s">
        <v>88</v>
      </c>
      <c r="O38" s="7" t="s">
        <v>89</v>
      </c>
      <c r="P38" s="9">
        <v>7020.8224739999996</v>
      </c>
      <c r="Q38" s="9">
        <v>49017.409821000001</v>
      </c>
      <c r="R38" s="9">
        <v>15350.970879</v>
      </c>
      <c r="S38" s="9">
        <v>52871.442012</v>
      </c>
      <c r="T38" s="6"/>
      <c r="U38" s="6"/>
      <c r="V38" s="6"/>
      <c r="W38" s="6"/>
      <c r="X38" s="6"/>
      <c r="Y38" s="6"/>
      <c r="Z38" s="6"/>
      <c r="AA38" s="6"/>
    </row>
    <row r="39" spans="2:27" ht="15" customHeight="1" thickBot="1" x14ac:dyDescent="0.9">
      <c r="B39" s="16">
        <v>3449.52</v>
      </c>
      <c r="C39" s="22" t="str">
        <f>IF(COUNTIF('Copperleaf Data'!O:O,'SAP Data'!F39)&gt;0,"_Yes","No - "&amp;LEFT(F39,3))</f>
        <v>_Yes</v>
      </c>
      <c r="E39" s="7" t="s">
        <v>25</v>
      </c>
      <c r="F39" s="7" t="s">
        <v>82</v>
      </c>
      <c r="G39" s="7" t="s">
        <v>83</v>
      </c>
      <c r="H39" s="7" t="s">
        <v>106</v>
      </c>
      <c r="I39" s="7" t="s">
        <v>107</v>
      </c>
      <c r="J39" s="7" t="s">
        <v>0</v>
      </c>
      <c r="K39" s="7" t="s">
        <v>85</v>
      </c>
      <c r="L39" s="7" t="s">
        <v>86</v>
      </c>
      <c r="M39" s="7" t="s">
        <v>87</v>
      </c>
      <c r="N39" s="7" t="s">
        <v>88</v>
      </c>
      <c r="O39" s="7" t="s">
        <v>89</v>
      </c>
      <c r="P39" s="9">
        <v>631.00344600000005</v>
      </c>
      <c r="Q39" s="9">
        <v>631.00344600000005</v>
      </c>
      <c r="R39" s="9">
        <v>631.00344600000005</v>
      </c>
      <c r="S39" s="9">
        <v>631.00344600000005</v>
      </c>
      <c r="T39" s="5"/>
      <c r="U39" s="5"/>
      <c r="V39" s="5"/>
      <c r="W39" s="5"/>
      <c r="X39" s="6"/>
      <c r="Y39" s="6"/>
      <c r="Z39" s="6"/>
      <c r="AA39" s="6"/>
    </row>
    <row r="40" spans="2:27" ht="15" customHeight="1" thickBot="1" x14ac:dyDescent="0.9">
      <c r="B40" s="16">
        <v>1083.1600000000001</v>
      </c>
      <c r="C40" s="22" t="str">
        <f>IF(COUNTIF('Copperleaf Data'!O:O,'SAP Data'!F40)&gt;0,"_Yes","No - "&amp;LEFT(F40,3))</f>
        <v>_Yes</v>
      </c>
      <c r="E40" s="7" t="s">
        <v>25</v>
      </c>
      <c r="F40" s="7" t="s">
        <v>82</v>
      </c>
      <c r="G40" s="7" t="s">
        <v>83</v>
      </c>
      <c r="H40" s="7" t="s">
        <v>108</v>
      </c>
      <c r="I40" s="7" t="s">
        <v>109</v>
      </c>
      <c r="J40" s="7" t="s">
        <v>0</v>
      </c>
      <c r="K40" s="7" t="s">
        <v>85</v>
      </c>
      <c r="L40" s="7" t="s">
        <v>86</v>
      </c>
      <c r="M40" s="7" t="s">
        <v>87</v>
      </c>
      <c r="N40" s="7" t="s">
        <v>88</v>
      </c>
      <c r="O40" s="7" t="s">
        <v>89</v>
      </c>
      <c r="P40" s="8">
        <v>0</v>
      </c>
      <c r="Q40" s="8">
        <v>0</v>
      </c>
      <c r="R40" s="8">
        <v>0</v>
      </c>
      <c r="S40" s="9">
        <v>792.54817200000002</v>
      </c>
      <c r="T40" s="5"/>
      <c r="U40" s="5"/>
      <c r="V40" s="5"/>
      <c r="W40" s="5"/>
      <c r="X40" s="5"/>
      <c r="Y40" s="5"/>
      <c r="Z40" s="5"/>
      <c r="AA40" s="6"/>
    </row>
    <row r="41" spans="2:27" ht="15" customHeight="1" thickBot="1" x14ac:dyDescent="0.9">
      <c r="B41" s="16">
        <v>4164</v>
      </c>
      <c r="C41" s="22" t="str">
        <f>IF(COUNTIF('Copperleaf Data'!O:O,'SAP Data'!F41)&gt;0,"_Yes","No - "&amp;LEFT(F41,3))</f>
        <v>_Yes</v>
      </c>
      <c r="E41" s="7" t="s">
        <v>25</v>
      </c>
      <c r="F41" s="7" t="s">
        <v>82</v>
      </c>
      <c r="G41" s="7" t="s">
        <v>83</v>
      </c>
      <c r="H41" s="7" t="s">
        <v>110</v>
      </c>
      <c r="I41" s="7" t="s">
        <v>80</v>
      </c>
      <c r="J41" s="7" t="s">
        <v>0</v>
      </c>
      <c r="K41" s="7" t="s">
        <v>85</v>
      </c>
      <c r="L41" s="7" t="s">
        <v>86</v>
      </c>
      <c r="M41" s="7" t="s">
        <v>87</v>
      </c>
      <c r="N41" s="7" t="s">
        <v>88</v>
      </c>
      <c r="O41" s="7" t="s">
        <v>89</v>
      </c>
      <c r="P41" s="9">
        <v>0</v>
      </c>
      <c r="Q41" s="9">
        <v>-8187.723</v>
      </c>
      <c r="R41" s="8">
        <v>0</v>
      </c>
      <c r="S41" s="9">
        <v>11234.5218</v>
      </c>
      <c r="T41" s="5"/>
      <c r="U41" s="5"/>
      <c r="V41" s="5"/>
      <c r="W41" s="5"/>
      <c r="X41" s="5"/>
      <c r="Y41" s="6"/>
      <c r="Z41" s="5"/>
      <c r="AA41" s="5"/>
    </row>
    <row r="42" spans="2:27" ht="15" customHeight="1" thickBot="1" x14ac:dyDescent="0.9">
      <c r="B42" s="16">
        <v>1241807.42</v>
      </c>
      <c r="C42" s="22" t="str">
        <f>IF(COUNTIF('Copperleaf Data'!O:O,'SAP Data'!F42)&gt;0,"_Yes","No - "&amp;LEFT(F42,3))</f>
        <v>_Yes</v>
      </c>
      <c r="E42" s="7" t="s">
        <v>25</v>
      </c>
      <c r="F42" s="7" t="s">
        <v>82</v>
      </c>
      <c r="G42" s="7" t="s">
        <v>83</v>
      </c>
      <c r="H42" s="7" t="s">
        <v>111</v>
      </c>
      <c r="I42" s="7" t="s">
        <v>55</v>
      </c>
      <c r="J42" s="7" t="s">
        <v>0</v>
      </c>
      <c r="K42" s="7" t="s">
        <v>85</v>
      </c>
      <c r="L42" s="7" t="s">
        <v>86</v>
      </c>
      <c r="M42" s="7" t="s">
        <v>87</v>
      </c>
      <c r="N42" s="7" t="s">
        <v>88</v>
      </c>
      <c r="O42" s="7" t="s">
        <v>89</v>
      </c>
      <c r="P42" s="9">
        <v>82602.769086</v>
      </c>
      <c r="Q42" s="9">
        <v>165205.54548900001</v>
      </c>
      <c r="R42" s="9">
        <v>413013.86006400001</v>
      </c>
      <c r="S42" s="9">
        <v>247808.314575</v>
      </c>
      <c r="T42" s="6"/>
      <c r="U42" s="6"/>
      <c r="V42" s="6"/>
      <c r="W42" s="6"/>
      <c r="X42" s="6"/>
      <c r="Y42" s="6"/>
      <c r="Z42" s="6"/>
      <c r="AA42" s="6"/>
    </row>
    <row r="43" spans="2:27" ht="15" customHeight="1" thickBot="1" x14ac:dyDescent="0.9">
      <c r="B43" s="16">
        <v>-469280.61</v>
      </c>
      <c r="C43" s="22" t="str">
        <f>IF(COUNTIF('Copperleaf Data'!O:O,'SAP Data'!F43)&gt;0,"_Yes","No - "&amp;LEFT(F43,3))</f>
        <v>_Yes</v>
      </c>
      <c r="E43" s="7" t="s">
        <v>25</v>
      </c>
      <c r="F43" s="7" t="s">
        <v>82</v>
      </c>
      <c r="G43" s="7" t="s">
        <v>83</v>
      </c>
      <c r="H43" s="7" t="s">
        <v>112</v>
      </c>
      <c r="I43" s="7" t="s">
        <v>46</v>
      </c>
      <c r="J43" s="7" t="s">
        <v>0</v>
      </c>
      <c r="K43" s="7" t="s">
        <v>85</v>
      </c>
      <c r="L43" s="7" t="s">
        <v>86</v>
      </c>
      <c r="M43" s="7" t="s">
        <v>87</v>
      </c>
      <c r="N43" s="7" t="s">
        <v>88</v>
      </c>
      <c r="O43" s="7" t="s">
        <v>89</v>
      </c>
      <c r="P43" s="9">
        <v>0</v>
      </c>
      <c r="Q43" s="9">
        <v>-343372.62233699998</v>
      </c>
      <c r="R43" s="8">
        <v>0</v>
      </c>
      <c r="S43" s="8">
        <v>0</v>
      </c>
      <c r="T43" s="5"/>
      <c r="U43" s="5"/>
      <c r="V43" s="6"/>
      <c r="W43" s="6"/>
      <c r="X43" s="6"/>
      <c r="Y43" s="6"/>
      <c r="Z43" s="6"/>
      <c r="AA43" s="6"/>
    </row>
    <row r="44" spans="2:27" ht="15" customHeight="1" thickBot="1" x14ac:dyDescent="0.9">
      <c r="B44" s="16">
        <v>21166.93</v>
      </c>
      <c r="C44" s="22" t="str">
        <f>IF(COUNTIF('Copperleaf Data'!O:O,'SAP Data'!F44)&gt;0,"_Yes","No - "&amp;LEFT(F44,3))</f>
        <v>_Yes</v>
      </c>
      <c r="E44" s="7" t="s">
        <v>25</v>
      </c>
      <c r="F44" s="7" t="s">
        <v>113</v>
      </c>
      <c r="G44" s="7" t="s">
        <v>114</v>
      </c>
      <c r="H44" s="7" t="s">
        <v>115</v>
      </c>
      <c r="I44" s="7" t="s">
        <v>70</v>
      </c>
      <c r="J44" s="7" t="s">
        <v>0</v>
      </c>
      <c r="K44" s="7" t="s">
        <v>60</v>
      </c>
      <c r="L44" s="7" t="s">
        <v>116</v>
      </c>
      <c r="M44" s="7" t="s">
        <v>117</v>
      </c>
      <c r="N44" s="7" t="s">
        <v>88</v>
      </c>
      <c r="O44" s="7" t="s">
        <v>89</v>
      </c>
      <c r="P44" s="9">
        <v>5091.2051849999998</v>
      </c>
      <c r="Q44" s="9">
        <v>3128.3101799999999</v>
      </c>
      <c r="R44" s="9">
        <v>3563.7814349999999</v>
      </c>
      <c r="S44" s="9">
        <v>3704.545881</v>
      </c>
      <c r="T44" s="6"/>
      <c r="U44" s="6"/>
      <c r="V44" s="6"/>
      <c r="W44" s="6"/>
      <c r="X44" s="6"/>
      <c r="Y44" s="6"/>
      <c r="Z44" s="6"/>
      <c r="AA44" s="6"/>
    </row>
    <row r="45" spans="2:27" ht="15" customHeight="1" thickBot="1" x14ac:dyDescent="0.9">
      <c r="B45" s="16">
        <v>8391.65</v>
      </c>
      <c r="C45" s="22" t="str">
        <f>IF(COUNTIF('Copperleaf Data'!O:O,'SAP Data'!F45)&gt;0,"_Yes","No - "&amp;LEFT(F45,3))</f>
        <v>_Yes</v>
      </c>
      <c r="E45" s="7" t="s">
        <v>25</v>
      </c>
      <c r="F45" s="7" t="s">
        <v>113</v>
      </c>
      <c r="G45" s="7" t="s">
        <v>114</v>
      </c>
      <c r="H45" s="7" t="s">
        <v>118</v>
      </c>
      <c r="I45" s="7" t="s">
        <v>77</v>
      </c>
      <c r="J45" s="7" t="s">
        <v>0</v>
      </c>
      <c r="K45" s="7" t="s">
        <v>60</v>
      </c>
      <c r="L45" s="7" t="s">
        <v>116</v>
      </c>
      <c r="M45" s="7" t="s">
        <v>117</v>
      </c>
      <c r="N45" s="7" t="s">
        <v>88</v>
      </c>
      <c r="O45" s="7" t="s">
        <v>89</v>
      </c>
      <c r="P45" s="9">
        <v>2195.1</v>
      </c>
      <c r="Q45" s="9">
        <v>2195.1</v>
      </c>
      <c r="R45" s="9">
        <v>477.42693300000002</v>
      </c>
      <c r="S45" s="9">
        <v>1272.5433720000001</v>
      </c>
      <c r="T45" s="5"/>
      <c r="U45" s="5"/>
      <c r="V45" s="5"/>
      <c r="W45" s="5"/>
      <c r="X45" s="5"/>
      <c r="Y45" s="5"/>
      <c r="Z45" s="5"/>
      <c r="AA45" s="6"/>
    </row>
    <row r="46" spans="2:27" ht="15" customHeight="1" thickBot="1" x14ac:dyDescent="0.9">
      <c r="B46" s="16">
        <v>3917.53</v>
      </c>
      <c r="C46" s="22" t="str">
        <f>IF(COUNTIF('Copperleaf Data'!O:O,'SAP Data'!F46)&gt;0,"_Yes","No - "&amp;LEFT(F46,3))</f>
        <v>_Yes</v>
      </c>
      <c r="E46" s="7" t="s">
        <v>25</v>
      </c>
      <c r="F46" s="7" t="s">
        <v>113</v>
      </c>
      <c r="G46" s="7" t="s">
        <v>114</v>
      </c>
      <c r="H46" s="7" t="s">
        <v>119</v>
      </c>
      <c r="I46" s="7" t="s">
        <v>40</v>
      </c>
      <c r="J46" s="7" t="s">
        <v>0</v>
      </c>
      <c r="K46" s="7" t="s">
        <v>60</v>
      </c>
      <c r="L46" s="7" t="s">
        <v>116</v>
      </c>
      <c r="M46" s="7" t="s">
        <v>117</v>
      </c>
      <c r="N46" s="7" t="s">
        <v>88</v>
      </c>
      <c r="O46" s="7" t="s">
        <v>89</v>
      </c>
      <c r="P46" s="9">
        <v>424.18112400000001</v>
      </c>
      <c r="Q46" s="9">
        <v>477.42693300000002</v>
      </c>
      <c r="R46" s="9">
        <v>1272.5433720000001</v>
      </c>
      <c r="S46" s="9">
        <v>692.30527199999995</v>
      </c>
      <c r="T46" s="6"/>
      <c r="U46" s="5"/>
      <c r="V46" s="6"/>
      <c r="W46" s="5"/>
      <c r="X46" s="6"/>
      <c r="Y46" s="6"/>
      <c r="Z46" s="6"/>
      <c r="AA46" s="6"/>
    </row>
    <row r="47" spans="2:27" ht="15" customHeight="1" thickBot="1" x14ac:dyDescent="0.9">
      <c r="B47" s="16">
        <v>351635.88</v>
      </c>
      <c r="C47" s="22" t="str">
        <f>IF(COUNTIF('Copperleaf Data'!O:O,'SAP Data'!F47)&gt;0,"_Yes","No - "&amp;LEFT(F47,3))</f>
        <v>_Yes</v>
      </c>
      <c r="E47" s="7" t="s">
        <v>25</v>
      </c>
      <c r="F47" s="7" t="s">
        <v>113</v>
      </c>
      <c r="G47" s="7" t="s">
        <v>114</v>
      </c>
      <c r="H47" s="7" t="s">
        <v>120</v>
      </c>
      <c r="I47" s="7" t="s">
        <v>48</v>
      </c>
      <c r="J47" s="7" t="s">
        <v>0</v>
      </c>
      <c r="K47" s="7" t="s">
        <v>60</v>
      </c>
      <c r="L47" s="7" t="s">
        <v>116</v>
      </c>
      <c r="M47" s="7" t="s">
        <v>117</v>
      </c>
      <c r="N47" s="7" t="s">
        <v>88</v>
      </c>
      <c r="O47" s="7" t="s">
        <v>89</v>
      </c>
      <c r="P47" s="9">
        <v>182986.66767600001</v>
      </c>
      <c r="Q47" s="9">
        <v>13023.689274</v>
      </c>
      <c r="R47" s="9">
        <v>35065.917630000004</v>
      </c>
      <c r="S47" s="9">
        <v>26215.698816</v>
      </c>
      <c r="T47" s="5"/>
      <c r="U47" s="5"/>
      <c r="V47" s="5"/>
      <c r="W47" s="5"/>
      <c r="X47" s="5"/>
      <c r="Y47" s="5"/>
      <c r="Z47" s="5"/>
      <c r="AA47" s="5"/>
    </row>
    <row r="48" spans="2:27" ht="15" customHeight="1" thickBot="1" x14ac:dyDescent="0.9">
      <c r="B48" s="16">
        <v>-125337.75</v>
      </c>
      <c r="C48" s="22" t="str">
        <f>IF(COUNTIF('Copperleaf Data'!O:O,'SAP Data'!F48)&gt;0,"_Yes","No - "&amp;LEFT(F48,3))</f>
        <v>_Yes</v>
      </c>
      <c r="E48" s="7" t="s">
        <v>25</v>
      </c>
      <c r="F48" s="7" t="s">
        <v>113</v>
      </c>
      <c r="G48" s="7" t="s">
        <v>114</v>
      </c>
      <c r="H48" s="7" t="s">
        <v>121</v>
      </c>
      <c r="I48" s="7" t="s">
        <v>122</v>
      </c>
      <c r="J48" s="7" t="s">
        <v>0</v>
      </c>
      <c r="K48" s="7" t="s">
        <v>60</v>
      </c>
      <c r="L48" s="7" t="s">
        <v>116</v>
      </c>
      <c r="M48" s="7" t="s">
        <v>117</v>
      </c>
      <c r="N48" s="7" t="s">
        <v>88</v>
      </c>
      <c r="O48" s="7" t="s">
        <v>89</v>
      </c>
      <c r="P48" s="9">
        <v>-91709.631674999997</v>
      </c>
      <c r="Q48" s="8">
        <v>0</v>
      </c>
      <c r="R48" s="8">
        <v>0</v>
      </c>
      <c r="S48" s="8">
        <v>0</v>
      </c>
      <c r="T48" s="5"/>
      <c r="U48" s="5"/>
      <c r="V48" s="6"/>
      <c r="W48" s="6"/>
      <c r="X48" s="6"/>
      <c r="Y48" s="6"/>
      <c r="Z48" s="6"/>
      <c r="AA48" s="6"/>
    </row>
    <row r="49" spans="2:27" ht="15" customHeight="1" thickBot="1" x14ac:dyDescent="0.9">
      <c r="B49" s="16">
        <v>27023.08</v>
      </c>
      <c r="C49" s="22" t="str">
        <f>IF(COUNTIF('Copperleaf Data'!O:O,'SAP Data'!F49)&gt;0,"_Yes","No - "&amp;LEFT(F49,3))</f>
        <v>_Yes</v>
      </c>
      <c r="E49" s="7" t="s">
        <v>25</v>
      </c>
      <c r="F49" s="7" t="s">
        <v>123</v>
      </c>
      <c r="G49" s="7" t="s">
        <v>124</v>
      </c>
      <c r="H49" s="7" t="s">
        <v>125</v>
      </c>
      <c r="I49" s="7" t="s">
        <v>70</v>
      </c>
      <c r="J49" s="7" t="s">
        <v>0</v>
      </c>
      <c r="K49" s="7" t="s">
        <v>71</v>
      </c>
      <c r="L49" s="7" t="s">
        <v>126</v>
      </c>
      <c r="M49" s="7" t="s">
        <v>127</v>
      </c>
      <c r="N49" s="7" t="s">
        <v>128</v>
      </c>
      <c r="O49" s="7" t="s">
        <v>129</v>
      </c>
      <c r="P49" s="9">
        <v>2717.9874540000001</v>
      </c>
      <c r="Q49" s="9">
        <v>6833.214594</v>
      </c>
      <c r="R49" s="9">
        <v>9987.6976830000003</v>
      </c>
      <c r="S49" s="9">
        <v>233.88790499999999</v>
      </c>
      <c r="T49" s="6"/>
      <c r="U49" s="6"/>
      <c r="V49" s="5"/>
      <c r="W49" s="5"/>
      <c r="X49" s="5"/>
      <c r="Y49" s="5"/>
      <c r="Z49" s="5"/>
      <c r="AA49" s="5"/>
    </row>
    <row r="50" spans="2:27" ht="15" customHeight="1" thickBot="1" x14ac:dyDescent="0.9">
      <c r="B50" s="16">
        <v>20528.39</v>
      </c>
      <c r="C50" s="22" t="str">
        <f>IF(COUNTIF('Copperleaf Data'!O:O,'SAP Data'!F50)&gt;0,"_Yes","No - "&amp;LEFT(F50,3))</f>
        <v>_Yes</v>
      </c>
      <c r="E50" s="7" t="s">
        <v>25</v>
      </c>
      <c r="F50" s="7" t="s">
        <v>123</v>
      </c>
      <c r="G50" s="7" t="s">
        <v>124</v>
      </c>
      <c r="H50" s="7" t="s">
        <v>130</v>
      </c>
      <c r="I50" s="7" t="s">
        <v>36</v>
      </c>
      <c r="J50" s="7" t="s">
        <v>0</v>
      </c>
      <c r="K50" s="7" t="s">
        <v>71</v>
      </c>
      <c r="L50" s="7" t="s">
        <v>126</v>
      </c>
      <c r="M50" s="7" t="s">
        <v>127</v>
      </c>
      <c r="N50" s="7" t="s">
        <v>128</v>
      </c>
      <c r="O50" s="7" t="s">
        <v>129</v>
      </c>
      <c r="P50" s="9">
        <v>1701.853713</v>
      </c>
      <c r="Q50" s="9">
        <v>1397.305539</v>
      </c>
      <c r="R50" s="9">
        <v>2661.6319199999998</v>
      </c>
      <c r="S50" s="9">
        <v>9259.8317910000005</v>
      </c>
      <c r="T50" s="5"/>
      <c r="U50" s="6"/>
      <c r="V50" s="6"/>
      <c r="W50" s="5"/>
      <c r="X50" s="5"/>
      <c r="Y50" s="5"/>
      <c r="Z50" s="5"/>
      <c r="AA50" s="5"/>
    </row>
    <row r="51" spans="2:27" ht="15" customHeight="1" thickBot="1" x14ac:dyDescent="0.9">
      <c r="B51" s="16">
        <v>7700</v>
      </c>
      <c r="C51" s="22" t="str">
        <f>IF(COUNTIF('Copperleaf Data'!O:O,'SAP Data'!F51)&gt;0,"_Yes","No - "&amp;LEFT(F51,3))</f>
        <v>_Yes</v>
      </c>
      <c r="E51" s="7" t="s">
        <v>25</v>
      </c>
      <c r="F51" s="7" t="s">
        <v>123</v>
      </c>
      <c r="G51" s="7" t="s">
        <v>124</v>
      </c>
      <c r="H51" s="7" t="s">
        <v>131</v>
      </c>
      <c r="I51" s="7" t="s">
        <v>77</v>
      </c>
      <c r="J51" s="7" t="s">
        <v>0</v>
      </c>
      <c r="K51" s="7" t="s">
        <v>71</v>
      </c>
      <c r="L51" s="7" t="s">
        <v>126</v>
      </c>
      <c r="M51" s="7" t="s">
        <v>127</v>
      </c>
      <c r="N51" s="7" t="s">
        <v>128</v>
      </c>
      <c r="O51" s="7" t="s">
        <v>129</v>
      </c>
      <c r="P51" s="8">
        <v>0</v>
      </c>
      <c r="Q51" s="9">
        <v>7317</v>
      </c>
      <c r="R51" s="9">
        <v>-7317</v>
      </c>
      <c r="S51" s="9">
        <v>5634.09</v>
      </c>
      <c r="T51" s="5"/>
      <c r="U51" s="6"/>
      <c r="V51" s="5"/>
      <c r="W51" s="5"/>
      <c r="X51" s="5"/>
      <c r="Y51" s="5"/>
      <c r="Z51" s="5"/>
      <c r="AA51" s="5"/>
    </row>
    <row r="52" spans="2:27" ht="15" customHeight="1" thickBot="1" x14ac:dyDescent="0.9">
      <c r="B52" s="16">
        <v>25411.200000000001</v>
      </c>
      <c r="C52" s="22" t="str">
        <f>IF(COUNTIF('Copperleaf Data'!O:O,'SAP Data'!F52)&gt;0,"_Yes","No - "&amp;LEFT(F52,3))</f>
        <v>_Yes</v>
      </c>
      <c r="E52" s="7" t="s">
        <v>25</v>
      </c>
      <c r="F52" s="7" t="s">
        <v>123</v>
      </c>
      <c r="G52" s="7" t="s">
        <v>124</v>
      </c>
      <c r="H52" s="7" t="s">
        <v>132</v>
      </c>
      <c r="I52" s="7" t="s">
        <v>40</v>
      </c>
      <c r="J52" s="7" t="s">
        <v>0</v>
      </c>
      <c r="K52" s="7" t="s">
        <v>71</v>
      </c>
      <c r="L52" s="7" t="s">
        <v>126</v>
      </c>
      <c r="M52" s="7" t="s">
        <v>127</v>
      </c>
      <c r="N52" s="7" t="s">
        <v>128</v>
      </c>
      <c r="O52" s="7" t="s">
        <v>129</v>
      </c>
      <c r="P52" s="9">
        <v>5148.6875369999998</v>
      </c>
      <c r="Q52" s="9">
        <v>4629.1073669999996</v>
      </c>
      <c r="R52" s="9">
        <v>8892.8988750000008</v>
      </c>
      <c r="S52" s="9">
        <v>-77.318738999999994</v>
      </c>
      <c r="T52" s="5"/>
      <c r="U52" s="6"/>
      <c r="V52" s="5"/>
      <c r="W52" s="5"/>
      <c r="X52" s="5"/>
      <c r="Y52" s="5"/>
      <c r="Z52" s="5"/>
      <c r="AA52" s="5"/>
    </row>
    <row r="53" spans="2:27" ht="15" customHeight="1" thickBot="1" x14ac:dyDescent="0.9">
      <c r="B53" s="16">
        <v>13350.94</v>
      </c>
      <c r="C53" s="22" t="str">
        <f>IF(COUNTIF('Copperleaf Data'!O:O,'SAP Data'!F53)&gt;0,"_Yes","No - "&amp;LEFT(F53,3))</f>
        <v>_Yes</v>
      </c>
      <c r="E53" s="7" t="s">
        <v>25</v>
      </c>
      <c r="F53" s="7" t="s">
        <v>123</v>
      </c>
      <c r="G53" s="7" t="s">
        <v>124</v>
      </c>
      <c r="H53" s="7" t="s">
        <v>133</v>
      </c>
      <c r="I53" s="7" t="s">
        <v>95</v>
      </c>
      <c r="J53" s="7" t="s">
        <v>0</v>
      </c>
      <c r="K53" s="7" t="s">
        <v>71</v>
      </c>
      <c r="L53" s="7" t="s">
        <v>126</v>
      </c>
      <c r="M53" s="7" t="s">
        <v>127</v>
      </c>
      <c r="N53" s="7" t="s">
        <v>128</v>
      </c>
      <c r="O53" s="7" t="s">
        <v>129</v>
      </c>
      <c r="P53" s="9">
        <v>2798.0354339999999</v>
      </c>
      <c r="Q53" s="9">
        <v>2558.7988019999998</v>
      </c>
      <c r="R53" s="9">
        <v>4412.0485619999999</v>
      </c>
      <c r="S53" s="8">
        <v>0</v>
      </c>
      <c r="T53" s="6"/>
      <c r="U53" s="6"/>
      <c r="V53" s="5"/>
      <c r="W53" s="5"/>
      <c r="X53" s="5"/>
      <c r="Y53" s="5"/>
      <c r="Z53" s="5"/>
      <c r="AA53" s="5"/>
    </row>
    <row r="54" spans="2:27" ht="15" customHeight="1" thickBot="1" x14ac:dyDescent="0.9">
      <c r="B54" s="16">
        <v>32618.68</v>
      </c>
      <c r="C54" s="22" t="str">
        <f>IF(COUNTIF('Copperleaf Data'!O:O,'SAP Data'!F54)&gt;0,"_Yes","No - "&amp;LEFT(F54,3))</f>
        <v>_Yes</v>
      </c>
      <c r="E54" s="7" t="s">
        <v>25</v>
      </c>
      <c r="F54" s="7" t="s">
        <v>123</v>
      </c>
      <c r="G54" s="7" t="s">
        <v>124</v>
      </c>
      <c r="H54" s="7" t="s">
        <v>134</v>
      </c>
      <c r="I54" s="7" t="s">
        <v>48</v>
      </c>
      <c r="J54" s="7" t="s">
        <v>0</v>
      </c>
      <c r="K54" s="7" t="s">
        <v>71</v>
      </c>
      <c r="L54" s="7" t="s">
        <v>126</v>
      </c>
      <c r="M54" s="7" t="s">
        <v>127</v>
      </c>
      <c r="N54" s="7" t="s">
        <v>128</v>
      </c>
      <c r="O54" s="7" t="s">
        <v>129</v>
      </c>
      <c r="P54" s="9">
        <v>23867.088156000002</v>
      </c>
      <c r="Q54" s="8">
        <v>0</v>
      </c>
      <c r="R54" s="8">
        <v>0</v>
      </c>
      <c r="S54" s="8">
        <v>0</v>
      </c>
      <c r="T54" s="5"/>
      <c r="U54" s="6"/>
      <c r="V54" s="5"/>
      <c r="W54" s="5"/>
      <c r="X54" s="5"/>
      <c r="Y54" s="5"/>
      <c r="Z54" s="5"/>
      <c r="AA54" s="5"/>
    </row>
    <row r="55" spans="2:27" ht="15" customHeight="1" thickBot="1" x14ac:dyDescent="0.9">
      <c r="B55" s="16">
        <v>54483</v>
      </c>
      <c r="C55" s="22" t="str">
        <f>IF(COUNTIF('Copperleaf Data'!O:O,'SAP Data'!F55)&gt;0,"_Yes","No - "&amp;LEFT(F55,3))</f>
        <v>_Yes</v>
      </c>
      <c r="E55" s="7" t="s">
        <v>25</v>
      </c>
      <c r="F55" s="7" t="s">
        <v>123</v>
      </c>
      <c r="G55" s="7" t="s">
        <v>124</v>
      </c>
      <c r="H55" s="7" t="s">
        <v>135</v>
      </c>
      <c r="I55" s="7" t="s">
        <v>46</v>
      </c>
      <c r="J55" s="7" t="s">
        <v>0</v>
      </c>
      <c r="K55" s="7" t="s">
        <v>71</v>
      </c>
      <c r="L55" s="7" t="s">
        <v>126</v>
      </c>
      <c r="M55" s="7" t="s">
        <v>127</v>
      </c>
      <c r="N55" s="7" t="s">
        <v>128</v>
      </c>
      <c r="O55" s="7" t="s">
        <v>129</v>
      </c>
      <c r="P55" s="8">
        <v>0</v>
      </c>
      <c r="Q55" s="8">
        <v>0</v>
      </c>
      <c r="R55" s="8">
        <v>0</v>
      </c>
      <c r="S55" s="9">
        <v>39865.2111</v>
      </c>
      <c r="T55" s="5"/>
      <c r="U55" s="6"/>
      <c r="V55" s="5"/>
      <c r="W55" s="5"/>
      <c r="X55" s="5"/>
      <c r="Y55" s="5"/>
      <c r="Z55" s="5"/>
      <c r="AA55" s="5"/>
    </row>
    <row r="56" spans="2:27" ht="15" customHeight="1" thickBot="1" x14ac:dyDescent="0.9">
      <c r="B56" s="16">
        <v>50818.97</v>
      </c>
      <c r="C56" s="22" t="str">
        <f>IF(COUNTIF('Copperleaf Data'!O:O,'SAP Data'!F56)&gt;0,"_Yes","No - "&amp;LEFT(F56,3))</f>
        <v>_Yes</v>
      </c>
      <c r="E56" s="7" t="s">
        <v>25</v>
      </c>
      <c r="F56" s="7" t="s">
        <v>136</v>
      </c>
      <c r="G56" s="7" t="s">
        <v>137</v>
      </c>
      <c r="H56" s="7" t="s">
        <v>138</v>
      </c>
      <c r="I56" s="7" t="s">
        <v>70</v>
      </c>
      <c r="J56" s="7" t="s">
        <v>0</v>
      </c>
      <c r="K56" s="7" t="s">
        <v>139</v>
      </c>
      <c r="L56" s="7" t="s">
        <v>140</v>
      </c>
      <c r="M56" s="7" t="s">
        <v>141</v>
      </c>
      <c r="N56" s="7" t="s">
        <v>128</v>
      </c>
      <c r="O56" s="7" t="s">
        <v>129</v>
      </c>
      <c r="P56" s="9">
        <v>6207.0623189999997</v>
      </c>
      <c r="Q56" s="9">
        <v>8697.476439</v>
      </c>
      <c r="R56" s="9">
        <v>12101.36679</v>
      </c>
      <c r="S56" s="9">
        <v>10178.334801000001</v>
      </c>
      <c r="T56" s="5"/>
      <c r="U56" s="5"/>
      <c r="V56" s="5"/>
      <c r="W56" s="5"/>
      <c r="X56" s="5"/>
      <c r="Y56" s="5"/>
      <c r="Z56" s="5"/>
      <c r="AA56" s="5"/>
    </row>
    <row r="57" spans="2:27" ht="15" customHeight="1" thickBot="1" x14ac:dyDescent="0.9">
      <c r="B57" s="16">
        <v>977.62999999999988</v>
      </c>
      <c r="C57" s="22" t="str">
        <f>IF(COUNTIF('Copperleaf Data'!O:O,'SAP Data'!F57)&gt;0,"_Yes","No - "&amp;LEFT(F57,3))</f>
        <v>_Yes</v>
      </c>
      <c r="E57" s="7" t="s">
        <v>25</v>
      </c>
      <c r="F57" s="7" t="s">
        <v>136</v>
      </c>
      <c r="G57" s="7" t="s">
        <v>137</v>
      </c>
      <c r="H57" s="7" t="s">
        <v>142</v>
      </c>
      <c r="I57" s="7" t="s">
        <v>36</v>
      </c>
      <c r="J57" s="7" t="s">
        <v>0</v>
      </c>
      <c r="K57" s="7" t="s">
        <v>139</v>
      </c>
      <c r="L57" s="7" t="s">
        <v>140</v>
      </c>
      <c r="M57" s="7" t="s">
        <v>141</v>
      </c>
      <c r="N57" s="7" t="s">
        <v>128</v>
      </c>
      <c r="O57" s="7" t="s">
        <v>129</v>
      </c>
      <c r="P57" s="9">
        <v>486.42684300000002</v>
      </c>
      <c r="Q57" s="8">
        <v>0</v>
      </c>
      <c r="R57" s="9">
        <v>114.45251399999999</v>
      </c>
      <c r="S57" s="9">
        <v>114.45251399999999</v>
      </c>
    </row>
    <row r="58" spans="2:27" ht="15" customHeight="1" thickBot="1" x14ac:dyDescent="0.9">
      <c r="B58" s="16">
        <f>SUM(P58:AA58)</f>
        <v>6329.7245069999999</v>
      </c>
      <c r="C58" s="22" t="str">
        <f>IF(COUNTIF('Copperleaf Data'!O:O,'SAP Data'!F58)&gt;0,"_Yes","No - "&amp;LEFT(F58,3))</f>
        <v>_Yes</v>
      </c>
      <c r="E58" s="7" t="s">
        <v>25</v>
      </c>
      <c r="F58" s="7" t="s">
        <v>136</v>
      </c>
      <c r="G58" s="7" t="s">
        <v>137</v>
      </c>
      <c r="H58" s="7" t="s">
        <v>143</v>
      </c>
      <c r="I58" s="7" t="s">
        <v>77</v>
      </c>
      <c r="J58" s="7" t="s">
        <v>0</v>
      </c>
      <c r="K58" s="7" t="s">
        <v>139</v>
      </c>
      <c r="L58" s="7" t="s">
        <v>140</v>
      </c>
      <c r="M58" s="7" t="s">
        <v>141</v>
      </c>
      <c r="N58" s="7" t="s">
        <v>128</v>
      </c>
      <c r="O58" s="7" t="s">
        <v>129</v>
      </c>
      <c r="P58" s="8">
        <v>0</v>
      </c>
      <c r="Q58" s="8">
        <v>0</v>
      </c>
      <c r="R58" s="9">
        <v>603.65250000000003</v>
      </c>
      <c r="S58" s="9">
        <v>5726.0720069999998</v>
      </c>
    </row>
    <row r="59" spans="2:27" ht="15" customHeight="1" thickBot="1" x14ac:dyDescent="0.9">
      <c r="B59" s="16">
        <f>SUM(P59:AA59)</f>
        <v>-7470.6716340000003</v>
      </c>
      <c r="C59" s="22" t="str">
        <f>IF(COUNTIF('Copperleaf Data'!O:O,'SAP Data'!F59)&gt;0,"_Yes","No - "&amp;LEFT(F59,3))</f>
        <v>_Yes</v>
      </c>
      <c r="E59" s="7" t="s">
        <v>25</v>
      </c>
      <c r="F59" s="7" t="s">
        <v>136</v>
      </c>
      <c r="G59" s="7" t="s">
        <v>137</v>
      </c>
      <c r="H59" s="7" t="s">
        <v>144</v>
      </c>
      <c r="I59" s="7" t="s">
        <v>40</v>
      </c>
      <c r="J59" s="7" t="s">
        <v>0</v>
      </c>
      <c r="K59" s="7" t="s">
        <v>139</v>
      </c>
      <c r="L59" s="7" t="s">
        <v>140</v>
      </c>
      <c r="M59" s="7" t="s">
        <v>141</v>
      </c>
      <c r="N59" s="7" t="s">
        <v>128</v>
      </c>
      <c r="O59" s="7" t="s">
        <v>129</v>
      </c>
      <c r="P59" s="9">
        <v>-6960.486492</v>
      </c>
      <c r="Q59" s="9">
        <v>-723.16837799999996</v>
      </c>
      <c r="R59" s="9">
        <v>212.98323600000001</v>
      </c>
      <c r="S59" s="8">
        <v>0</v>
      </c>
    </row>
    <row r="60" spans="2:27" ht="15" customHeight="1" thickBot="1" x14ac:dyDescent="0.9">
      <c r="B60" s="16">
        <f>SUM(P60:AA60)</f>
        <v>4139.7464069999996</v>
      </c>
      <c r="C60" s="22" t="str">
        <f>IF(COUNTIF('Copperleaf Data'!O:O,'SAP Data'!F60)&gt;0,"_Yes","No - "&amp;LEFT(F60,3))</f>
        <v>_Yes</v>
      </c>
      <c r="E60" s="7" t="s">
        <v>25</v>
      </c>
      <c r="F60" s="7" t="s">
        <v>136</v>
      </c>
      <c r="G60" s="7" t="s">
        <v>137</v>
      </c>
      <c r="H60" s="7" t="s">
        <v>145</v>
      </c>
      <c r="I60" s="7" t="s">
        <v>95</v>
      </c>
      <c r="J60" s="7" t="s">
        <v>0</v>
      </c>
      <c r="K60" s="7" t="s">
        <v>139</v>
      </c>
      <c r="L60" s="7" t="s">
        <v>140</v>
      </c>
      <c r="M60" s="7" t="s">
        <v>141</v>
      </c>
      <c r="N60" s="7" t="s">
        <v>128</v>
      </c>
      <c r="O60" s="7" t="s">
        <v>129</v>
      </c>
      <c r="P60" s="9">
        <v>581.60637899999995</v>
      </c>
      <c r="Q60" s="9">
        <v>514.099737</v>
      </c>
      <c r="R60" s="9">
        <v>3044.0402909999998</v>
      </c>
      <c r="S60" s="8">
        <v>0</v>
      </c>
    </row>
    <row r="61" spans="2:27" ht="15" customHeight="1" thickBot="1" x14ac:dyDescent="0.9">
      <c r="B61" s="16">
        <f>SUM(P61:AA61)</f>
        <v>99530.868095999991</v>
      </c>
      <c r="C61" s="22" t="str">
        <f>IF(COUNTIF('Copperleaf Data'!O:O,'SAP Data'!F61)&gt;0,"_Yes","No - "&amp;LEFT(F61,3))</f>
        <v>_Yes</v>
      </c>
      <c r="E61" s="7" t="s">
        <v>25</v>
      </c>
      <c r="F61" s="7" t="s">
        <v>136</v>
      </c>
      <c r="G61" s="7" t="s">
        <v>137</v>
      </c>
      <c r="H61" s="7" t="s">
        <v>146</v>
      </c>
      <c r="I61" s="7" t="s">
        <v>44</v>
      </c>
      <c r="J61" s="7" t="s">
        <v>0</v>
      </c>
      <c r="K61" s="7" t="s">
        <v>139</v>
      </c>
      <c r="L61" s="7" t="s">
        <v>140</v>
      </c>
      <c r="M61" s="7" t="s">
        <v>141</v>
      </c>
      <c r="N61" s="7" t="s">
        <v>128</v>
      </c>
      <c r="O61" s="7" t="s">
        <v>129</v>
      </c>
      <c r="P61" s="8">
        <v>0</v>
      </c>
      <c r="Q61" s="8">
        <v>0</v>
      </c>
      <c r="R61" s="9">
        <v>35622.134018999997</v>
      </c>
      <c r="S61" s="9">
        <v>63908.734077000001</v>
      </c>
    </row>
    <row r="62" spans="2:27" ht="15" customHeight="1" thickBot="1" x14ac:dyDescent="0.9">
      <c r="B62" s="16">
        <v>23100.3</v>
      </c>
      <c r="C62" s="22" t="str">
        <f>IF(COUNTIF('Copperleaf Data'!O:O,'SAP Data'!F62)&gt;0,"_Yes","No - "&amp;LEFT(F62,3))</f>
        <v>_Yes</v>
      </c>
      <c r="E62" s="7" t="s">
        <v>25</v>
      </c>
      <c r="F62" s="7" t="s">
        <v>147</v>
      </c>
      <c r="G62" s="7" t="s">
        <v>148</v>
      </c>
      <c r="H62" s="7" t="s">
        <v>149</v>
      </c>
      <c r="I62" s="7" t="s">
        <v>36</v>
      </c>
      <c r="J62" s="7" t="s">
        <v>0</v>
      </c>
      <c r="K62" s="7" t="s">
        <v>150</v>
      </c>
      <c r="L62" s="7" t="s">
        <v>151</v>
      </c>
      <c r="M62" s="7" t="s">
        <v>127</v>
      </c>
      <c r="N62" s="7" t="s">
        <v>74</v>
      </c>
      <c r="O62" s="7" t="s">
        <v>75</v>
      </c>
      <c r="P62" s="8">
        <v>0</v>
      </c>
      <c r="Q62" s="8">
        <v>0</v>
      </c>
      <c r="R62" s="8">
        <v>0</v>
      </c>
      <c r="S62" s="9">
        <v>16902.489509999999</v>
      </c>
    </row>
    <row r="63" spans="2:27" ht="15" customHeight="1" thickBot="1" x14ac:dyDescent="0.9">
      <c r="B63" s="16">
        <v>13253.42</v>
      </c>
      <c r="C63" s="22" t="str">
        <f>IF(COUNTIF('Copperleaf Data'!O:O,'SAP Data'!F63)&gt;0,"_Yes","No - "&amp;LEFT(F63,3))</f>
        <v>_Yes</v>
      </c>
      <c r="E63" s="7" t="s">
        <v>25</v>
      </c>
      <c r="F63" s="7" t="s">
        <v>152</v>
      </c>
      <c r="G63" s="7" t="s">
        <v>153</v>
      </c>
      <c r="H63" s="7" t="s">
        <v>154</v>
      </c>
      <c r="I63" s="7" t="s">
        <v>155</v>
      </c>
      <c r="J63" s="7" t="s">
        <v>0</v>
      </c>
      <c r="K63" s="7" t="s">
        <v>156</v>
      </c>
      <c r="L63" s="7" t="s">
        <v>157</v>
      </c>
      <c r="M63" s="7" t="s">
        <v>127</v>
      </c>
      <c r="N63" s="7" t="s">
        <v>74</v>
      </c>
      <c r="O63" s="7" t="s">
        <v>75</v>
      </c>
      <c r="P63" s="8">
        <v>0</v>
      </c>
      <c r="Q63" s="9">
        <v>2651.2929989999998</v>
      </c>
      <c r="R63" s="9">
        <v>3314.118078</v>
      </c>
      <c r="S63" s="9">
        <v>3732.1163369999999</v>
      </c>
    </row>
    <row r="64" spans="2:27" ht="15" customHeight="1" thickBot="1" x14ac:dyDescent="0.9">
      <c r="B64" s="16">
        <v>17534.009999999998</v>
      </c>
      <c r="C64" s="22" t="str">
        <f>IF(COUNTIF('Copperleaf Data'!O:O,'SAP Data'!F64)&gt;0,"_Yes","No - "&amp;LEFT(F64,3))</f>
        <v>_Yes</v>
      </c>
      <c r="E64" s="7" t="s">
        <v>25</v>
      </c>
      <c r="F64" s="7" t="s">
        <v>152</v>
      </c>
      <c r="G64" s="7" t="s">
        <v>153</v>
      </c>
      <c r="H64" s="7" t="s">
        <v>158</v>
      </c>
      <c r="I64" s="7" t="s">
        <v>159</v>
      </c>
      <c r="J64" s="7" t="s">
        <v>0</v>
      </c>
      <c r="K64" s="7" t="s">
        <v>156</v>
      </c>
      <c r="L64" s="7" t="s">
        <v>157</v>
      </c>
      <c r="M64" s="7" t="s">
        <v>127</v>
      </c>
      <c r="N64" s="7" t="s">
        <v>74</v>
      </c>
      <c r="O64" s="7" t="s">
        <v>75</v>
      </c>
      <c r="P64" s="8">
        <v>0</v>
      </c>
      <c r="Q64" s="8">
        <v>0</v>
      </c>
      <c r="R64" s="9">
        <v>10665.990900000001</v>
      </c>
      <c r="S64" s="9">
        <v>2163.644217</v>
      </c>
    </row>
    <row r="65" spans="2:19" ht="15" customHeight="1" thickBot="1" x14ac:dyDescent="0.9">
      <c r="B65" s="16">
        <v>0</v>
      </c>
      <c r="C65" s="22" t="str">
        <f>IF(COUNTIF('Copperleaf Data'!O:O,'SAP Data'!F65)&gt;0,"_Yes","No - "&amp;LEFT(F65,3))</f>
        <v>_Yes</v>
      </c>
      <c r="E65" s="7" t="s">
        <v>25</v>
      </c>
      <c r="F65" s="7" t="s">
        <v>152</v>
      </c>
      <c r="G65" s="7" t="s">
        <v>153</v>
      </c>
      <c r="H65" s="7" t="s">
        <v>160</v>
      </c>
      <c r="I65" s="7" t="s">
        <v>161</v>
      </c>
      <c r="J65" s="7" t="s">
        <v>0</v>
      </c>
      <c r="K65" s="7" t="s">
        <v>156</v>
      </c>
      <c r="L65" s="7" t="s">
        <v>157</v>
      </c>
      <c r="M65" s="7" t="s">
        <v>127</v>
      </c>
      <c r="N65" s="7" t="s">
        <v>74</v>
      </c>
      <c r="O65" s="7" t="s">
        <v>75</v>
      </c>
      <c r="P65" s="8">
        <v>0</v>
      </c>
      <c r="Q65" s="8">
        <v>0</v>
      </c>
      <c r="R65" s="9">
        <v>11920.878350999999</v>
      </c>
      <c r="S65" s="9">
        <v>-11920.878350999999</v>
      </c>
    </row>
    <row r="66" spans="2:19" ht="15" customHeight="1" thickBot="1" x14ac:dyDescent="0.9">
      <c r="B66" s="16">
        <v>2181.2199999999998</v>
      </c>
      <c r="C66" s="22" t="str">
        <f>IF(COUNTIF('Copperleaf Data'!O:O,'SAP Data'!F66)&gt;0,"_Yes","No - "&amp;LEFT(F66,3))</f>
        <v>_Yes</v>
      </c>
      <c r="E66" s="7" t="s">
        <v>25</v>
      </c>
      <c r="F66" s="7" t="s">
        <v>152</v>
      </c>
      <c r="G66" s="7" t="s">
        <v>153</v>
      </c>
      <c r="H66" s="7" t="s">
        <v>162</v>
      </c>
      <c r="I66" s="7" t="s">
        <v>163</v>
      </c>
      <c r="J66" s="7" t="s">
        <v>0</v>
      </c>
      <c r="K66" s="7" t="s">
        <v>156</v>
      </c>
      <c r="L66" s="7" t="s">
        <v>157</v>
      </c>
      <c r="M66" s="7" t="s">
        <v>127</v>
      </c>
      <c r="N66" s="7" t="s">
        <v>74</v>
      </c>
      <c r="O66" s="7" t="s">
        <v>75</v>
      </c>
      <c r="P66" s="8">
        <v>0</v>
      </c>
      <c r="Q66" s="8">
        <v>0</v>
      </c>
      <c r="R66" s="9">
        <v>298.57018499999998</v>
      </c>
      <c r="S66" s="9">
        <v>1297.4284889999999</v>
      </c>
    </row>
    <row r="67" spans="2:19" ht="15" customHeight="1" thickBot="1" x14ac:dyDescent="0.9">
      <c r="B67" s="16">
        <v>80000</v>
      </c>
      <c r="C67" s="22" t="str">
        <f>IF(COUNTIF('Copperleaf Data'!O:O,'SAP Data'!F67)&gt;0,"_Yes","No - "&amp;LEFT(F67,3))</f>
        <v>_Yes</v>
      </c>
      <c r="E67" s="7" t="s">
        <v>25</v>
      </c>
      <c r="F67" s="7" t="s">
        <v>152</v>
      </c>
      <c r="G67" s="7" t="s">
        <v>153</v>
      </c>
      <c r="H67" s="7" t="s">
        <v>164</v>
      </c>
      <c r="I67" s="7" t="s">
        <v>165</v>
      </c>
      <c r="J67" s="7" t="s">
        <v>0</v>
      </c>
      <c r="K67" s="7" t="s">
        <v>156</v>
      </c>
      <c r="L67" s="7" t="s">
        <v>157</v>
      </c>
      <c r="M67" s="7" t="s">
        <v>127</v>
      </c>
      <c r="N67" s="7" t="s">
        <v>74</v>
      </c>
      <c r="O67" s="7" t="s">
        <v>75</v>
      </c>
      <c r="P67" s="8">
        <v>0</v>
      </c>
      <c r="Q67" s="8">
        <v>0</v>
      </c>
      <c r="R67" s="8">
        <v>0</v>
      </c>
      <c r="S67" s="9">
        <v>58536</v>
      </c>
    </row>
    <row r="68" spans="2:19" ht="15" customHeight="1" thickBot="1" x14ac:dyDescent="0.9">
      <c r="B68" s="16">
        <v>2216.61</v>
      </c>
      <c r="C68" s="22" t="str">
        <f>IF(COUNTIF('Copperleaf Data'!O:O,'SAP Data'!F68)&gt;0,"_Yes","No - "&amp;LEFT(F68,3))</f>
        <v>_Yes</v>
      </c>
      <c r="E68" s="7" t="s">
        <v>25</v>
      </c>
      <c r="F68" s="7" t="s">
        <v>152</v>
      </c>
      <c r="G68" s="7" t="s">
        <v>153</v>
      </c>
      <c r="H68" s="7" t="s">
        <v>166</v>
      </c>
      <c r="I68" s="7" t="s">
        <v>167</v>
      </c>
      <c r="J68" s="7" t="s">
        <v>0</v>
      </c>
      <c r="K68" s="7" t="s">
        <v>156</v>
      </c>
      <c r="L68" s="7" t="s">
        <v>157</v>
      </c>
      <c r="M68" s="7" t="s">
        <v>127</v>
      </c>
      <c r="N68" s="7" t="s">
        <v>74</v>
      </c>
      <c r="O68" s="7" t="s">
        <v>75</v>
      </c>
      <c r="P68" s="8">
        <v>0</v>
      </c>
      <c r="Q68" s="8">
        <v>0</v>
      </c>
      <c r="R68" s="8">
        <v>0</v>
      </c>
      <c r="S68" s="9">
        <v>1621.8935369999999</v>
      </c>
    </row>
    <row r="69" spans="2:19" ht="15" customHeight="1" thickBot="1" x14ac:dyDescent="0.9">
      <c r="B69" s="16">
        <v>458.01</v>
      </c>
      <c r="C69" s="22" t="str">
        <f>IF(COUNTIF('Copperleaf Data'!O:O,'SAP Data'!F69)&gt;0,"_Yes","No - "&amp;LEFT(F69,3))</f>
        <v>_Yes</v>
      </c>
      <c r="E69" s="7" t="s">
        <v>25</v>
      </c>
      <c r="F69" s="7" t="s">
        <v>168</v>
      </c>
      <c r="G69" s="7" t="s">
        <v>169</v>
      </c>
      <c r="H69" s="7" t="s">
        <v>170</v>
      </c>
      <c r="I69" s="7" t="s">
        <v>161</v>
      </c>
      <c r="J69" s="7" t="s">
        <v>0</v>
      </c>
      <c r="K69" s="7" t="s">
        <v>171</v>
      </c>
      <c r="L69" s="7" t="s">
        <v>172</v>
      </c>
      <c r="M69" s="7" t="s">
        <v>173</v>
      </c>
      <c r="N69" s="7" t="s">
        <v>174</v>
      </c>
      <c r="O69" s="7" t="s">
        <v>175</v>
      </c>
      <c r="P69" s="8">
        <v>0</v>
      </c>
      <c r="Q69" s="8">
        <v>0</v>
      </c>
      <c r="R69" s="9">
        <v>396.31798800000001</v>
      </c>
      <c r="S69" s="9">
        <v>-61.192070999999999</v>
      </c>
    </row>
  </sheetData>
  <autoFilter ref="B2:AA69" xr:uid="{00000000-0009-0000-0000-000001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2:U71"/>
  <sheetViews>
    <sheetView topLeftCell="C1" zoomScale="85" zoomScaleNormal="85" workbookViewId="0">
      <selection activeCell="D3" sqref="D3"/>
    </sheetView>
  </sheetViews>
  <sheetFormatPr defaultColWidth="0" defaultRowHeight="14.75" x14ac:dyDescent="0.75"/>
  <cols>
    <col min="1" max="1" width="4.54296875" customWidth="1"/>
    <col min="2" max="2" width="28.1328125" customWidth="1"/>
    <col min="3" max="3" width="4.54296875" style="20" customWidth="1"/>
    <col min="4" max="4" width="17.86328125" bestFit="1" customWidth="1"/>
    <col min="5" max="5" width="45.26953125" bestFit="1" customWidth="1"/>
    <col min="6" max="6" width="19.86328125" bestFit="1" customWidth="1"/>
    <col min="7" max="7" width="45.26953125" bestFit="1" customWidth="1"/>
    <col min="8" max="8" width="14.58984375" bestFit="1" customWidth="1"/>
    <col min="9" max="10" width="16.26953125" bestFit="1" customWidth="1"/>
    <col min="11" max="12" width="10.1328125" hidden="1" customWidth="1"/>
    <col min="13" max="21" width="11.40625" hidden="1" customWidth="1"/>
    <col min="22" max="22" width="8.7265625" hidden="1" customWidth="1"/>
    <col min="23" max="16384" width="8.7265625" hidden="1"/>
  </cols>
  <sheetData>
    <row r="2" spans="4:11" x14ac:dyDescent="0.75">
      <c r="K2" s="16"/>
    </row>
    <row r="3" spans="4:11" x14ac:dyDescent="0.75">
      <c r="D3" s="15" t="s">
        <v>5</v>
      </c>
      <c r="E3" s="15" t="s">
        <v>176</v>
      </c>
      <c r="F3" s="15" t="s">
        <v>6</v>
      </c>
      <c r="G3" s="15" t="s">
        <v>177</v>
      </c>
      <c r="H3" s="15" t="s">
        <v>9</v>
      </c>
      <c r="I3" t="s">
        <v>178</v>
      </c>
    </row>
    <row r="4" spans="4:11" x14ac:dyDescent="0.75">
      <c r="D4" t="s">
        <v>26</v>
      </c>
      <c r="E4" t="s">
        <v>27</v>
      </c>
      <c r="F4" t="s">
        <v>28</v>
      </c>
      <c r="G4" t="s">
        <v>29</v>
      </c>
      <c r="H4" t="s">
        <v>31</v>
      </c>
      <c r="I4" s="16">
        <v>0</v>
      </c>
    </row>
    <row r="5" spans="4:11" x14ac:dyDescent="0.75">
      <c r="F5" t="s">
        <v>35</v>
      </c>
      <c r="G5" t="s">
        <v>36</v>
      </c>
      <c r="H5" t="s">
        <v>31</v>
      </c>
      <c r="I5" s="16">
        <v>77127.05</v>
      </c>
    </row>
    <row r="6" spans="4:11" x14ac:dyDescent="0.75">
      <c r="F6" t="s">
        <v>37</v>
      </c>
      <c r="G6" t="s">
        <v>38</v>
      </c>
      <c r="H6" t="s">
        <v>31</v>
      </c>
      <c r="I6" s="16">
        <v>512918.02</v>
      </c>
    </row>
    <row r="7" spans="4:11" x14ac:dyDescent="0.75">
      <c r="F7" t="s">
        <v>39</v>
      </c>
      <c r="G7" t="s">
        <v>40</v>
      </c>
      <c r="H7" t="s">
        <v>31</v>
      </c>
      <c r="I7" s="16">
        <v>822587.9</v>
      </c>
    </row>
    <row r="8" spans="4:11" x14ac:dyDescent="0.75">
      <c r="F8" t="s">
        <v>41</v>
      </c>
      <c r="G8" t="s">
        <v>42</v>
      </c>
      <c r="H8" t="s">
        <v>31</v>
      </c>
      <c r="I8" s="16">
        <v>598.62</v>
      </c>
    </row>
    <row r="9" spans="4:11" x14ac:dyDescent="0.75">
      <c r="F9" t="s">
        <v>43</v>
      </c>
      <c r="G9" t="s">
        <v>44</v>
      </c>
      <c r="H9" t="s">
        <v>31</v>
      </c>
      <c r="I9" s="16">
        <v>49000</v>
      </c>
    </row>
    <row r="10" spans="4:11" x14ac:dyDescent="0.75">
      <c r="F10" t="s">
        <v>45</v>
      </c>
      <c r="G10" t="s">
        <v>46</v>
      </c>
      <c r="H10" t="s">
        <v>31</v>
      </c>
      <c r="I10" s="16">
        <v>-4082340.0100000021</v>
      </c>
    </row>
    <row r="11" spans="4:11" x14ac:dyDescent="0.75">
      <c r="F11" t="s">
        <v>47</v>
      </c>
      <c r="G11" t="s">
        <v>48</v>
      </c>
      <c r="H11" t="s">
        <v>31</v>
      </c>
      <c r="I11" s="16">
        <v>52897.09</v>
      </c>
    </row>
    <row r="12" spans="4:11" x14ac:dyDescent="0.75">
      <c r="F12" t="s">
        <v>49</v>
      </c>
      <c r="G12" t="s">
        <v>48</v>
      </c>
      <c r="H12" t="s">
        <v>31</v>
      </c>
      <c r="I12" s="16">
        <v>4111458.59</v>
      </c>
    </row>
    <row r="13" spans="4:11" x14ac:dyDescent="0.75">
      <c r="F13" t="s">
        <v>50</v>
      </c>
      <c r="G13" t="s">
        <v>51</v>
      </c>
      <c r="H13" t="s">
        <v>31</v>
      </c>
      <c r="I13" s="16">
        <v>1071733.5</v>
      </c>
    </row>
    <row r="14" spans="4:11" x14ac:dyDescent="0.75">
      <c r="F14" t="s">
        <v>52</v>
      </c>
      <c r="G14" t="s">
        <v>53</v>
      </c>
      <c r="H14" t="s">
        <v>31</v>
      </c>
      <c r="I14" s="16">
        <v>-12094</v>
      </c>
    </row>
    <row r="15" spans="4:11" x14ac:dyDescent="0.75">
      <c r="F15" t="s">
        <v>54</v>
      </c>
      <c r="G15" t="s">
        <v>55</v>
      </c>
      <c r="H15" t="s">
        <v>31</v>
      </c>
      <c r="I15" s="16">
        <v>6325495</v>
      </c>
    </row>
    <row r="16" spans="4:11" x14ac:dyDescent="0.75">
      <c r="F16" t="s">
        <v>56</v>
      </c>
      <c r="G16" t="s">
        <v>46</v>
      </c>
      <c r="H16" t="s">
        <v>31</v>
      </c>
      <c r="I16" s="16">
        <v>10769281.02</v>
      </c>
    </row>
    <row r="17" spans="4:9" x14ac:dyDescent="0.75">
      <c r="D17" t="s">
        <v>57</v>
      </c>
      <c r="E17" t="s">
        <v>58</v>
      </c>
      <c r="F17" t="s">
        <v>59</v>
      </c>
      <c r="G17" t="s">
        <v>36</v>
      </c>
      <c r="H17" t="s">
        <v>61</v>
      </c>
      <c r="I17" s="16">
        <v>11873.44</v>
      </c>
    </row>
    <row r="18" spans="4:9" x14ac:dyDescent="0.75">
      <c r="F18" t="s">
        <v>63</v>
      </c>
      <c r="G18" t="s">
        <v>38</v>
      </c>
      <c r="H18" t="s">
        <v>61</v>
      </c>
      <c r="I18" s="16">
        <v>25765.39</v>
      </c>
    </row>
    <row r="19" spans="4:9" x14ac:dyDescent="0.75">
      <c r="F19" t="s">
        <v>64</v>
      </c>
      <c r="G19" t="s">
        <v>40</v>
      </c>
      <c r="H19" t="s">
        <v>61</v>
      </c>
      <c r="I19" s="16">
        <v>43055.39</v>
      </c>
    </row>
    <row r="20" spans="4:9" x14ac:dyDescent="0.75">
      <c r="F20" t="s">
        <v>65</v>
      </c>
      <c r="G20" t="s">
        <v>44</v>
      </c>
      <c r="H20" t="s">
        <v>61</v>
      </c>
      <c r="I20" s="16">
        <v>327300.04999999987</v>
      </c>
    </row>
    <row r="21" spans="4:9" x14ac:dyDescent="0.75">
      <c r="F21" t="s">
        <v>66</v>
      </c>
      <c r="G21" t="s">
        <v>48</v>
      </c>
      <c r="H21" t="s">
        <v>61</v>
      </c>
      <c r="I21" s="16">
        <v>31398.400000000001</v>
      </c>
    </row>
    <row r="22" spans="4:9" x14ac:dyDescent="0.75">
      <c r="D22" t="s">
        <v>67</v>
      </c>
      <c r="E22" t="s">
        <v>68</v>
      </c>
      <c r="F22" t="s">
        <v>69</v>
      </c>
      <c r="G22" t="s">
        <v>70</v>
      </c>
      <c r="H22" t="s">
        <v>72</v>
      </c>
      <c r="I22" s="16">
        <v>-66658.8</v>
      </c>
    </row>
    <row r="23" spans="4:9" x14ac:dyDescent="0.75">
      <c r="F23" t="s">
        <v>76</v>
      </c>
      <c r="G23" t="s">
        <v>77</v>
      </c>
      <c r="H23" t="s">
        <v>72</v>
      </c>
      <c r="I23" s="16">
        <v>-26413.59</v>
      </c>
    </row>
    <row r="24" spans="4:9" x14ac:dyDescent="0.75">
      <c r="F24" t="s">
        <v>78</v>
      </c>
      <c r="G24" t="s">
        <v>46</v>
      </c>
      <c r="H24" t="s">
        <v>72</v>
      </c>
      <c r="I24" s="16">
        <v>-243120</v>
      </c>
    </row>
    <row r="25" spans="4:9" x14ac:dyDescent="0.75">
      <c r="F25" t="s">
        <v>79</v>
      </c>
      <c r="G25" t="s">
        <v>80</v>
      </c>
      <c r="H25" t="s">
        <v>72</v>
      </c>
      <c r="I25" s="16">
        <v>5142.2699999999968</v>
      </c>
    </row>
    <row r="26" spans="4:9" x14ac:dyDescent="0.75">
      <c r="F26" t="s">
        <v>81</v>
      </c>
      <c r="G26" t="s">
        <v>46</v>
      </c>
      <c r="H26" t="s">
        <v>72</v>
      </c>
      <c r="I26" s="16">
        <v>8035</v>
      </c>
    </row>
    <row r="27" spans="4:9" x14ac:dyDescent="0.75">
      <c r="D27" t="s">
        <v>82</v>
      </c>
      <c r="E27" t="s">
        <v>83</v>
      </c>
      <c r="F27" t="s">
        <v>84</v>
      </c>
      <c r="G27" t="s">
        <v>29</v>
      </c>
      <c r="H27" t="s">
        <v>86</v>
      </c>
      <c r="I27" s="16">
        <v>-18371.73</v>
      </c>
    </row>
    <row r="28" spans="4:9" x14ac:dyDescent="0.75">
      <c r="F28" t="s">
        <v>90</v>
      </c>
      <c r="G28" t="s">
        <v>70</v>
      </c>
      <c r="H28" t="s">
        <v>86</v>
      </c>
      <c r="I28" s="16">
        <v>142345.95000000001</v>
      </c>
    </row>
    <row r="29" spans="4:9" x14ac:dyDescent="0.75">
      <c r="F29" t="s">
        <v>91</v>
      </c>
      <c r="G29" t="s">
        <v>36</v>
      </c>
      <c r="H29" t="s">
        <v>86</v>
      </c>
      <c r="I29" s="16">
        <v>16468.05</v>
      </c>
    </row>
    <row r="30" spans="4:9" x14ac:dyDescent="0.75">
      <c r="F30" t="s">
        <v>92</v>
      </c>
      <c r="G30" t="s">
        <v>77</v>
      </c>
      <c r="H30" t="s">
        <v>86</v>
      </c>
      <c r="I30" s="16">
        <v>250984.34</v>
      </c>
    </row>
    <row r="31" spans="4:9" x14ac:dyDescent="0.75">
      <c r="F31" t="s">
        <v>93</v>
      </c>
      <c r="G31" t="s">
        <v>40</v>
      </c>
      <c r="H31" t="s">
        <v>86</v>
      </c>
      <c r="I31" s="16">
        <v>374810.87</v>
      </c>
    </row>
    <row r="32" spans="4:9" x14ac:dyDescent="0.75">
      <c r="F32" t="s">
        <v>94</v>
      </c>
      <c r="G32" t="s">
        <v>95</v>
      </c>
      <c r="H32" t="s">
        <v>86</v>
      </c>
      <c r="I32" s="16">
        <v>1663.75</v>
      </c>
    </row>
    <row r="33" spans="4:9" x14ac:dyDescent="0.75">
      <c r="F33" t="s">
        <v>96</v>
      </c>
      <c r="G33" t="s">
        <v>97</v>
      </c>
      <c r="H33" t="s">
        <v>86</v>
      </c>
      <c r="I33" s="16">
        <v>3623</v>
      </c>
    </row>
    <row r="34" spans="4:9" x14ac:dyDescent="0.75">
      <c r="F34" t="s">
        <v>98</v>
      </c>
      <c r="G34" t="s">
        <v>99</v>
      </c>
      <c r="H34" t="s">
        <v>86</v>
      </c>
      <c r="I34" s="16">
        <v>-16425</v>
      </c>
    </row>
    <row r="35" spans="4:9" x14ac:dyDescent="0.75">
      <c r="F35" t="s">
        <v>100</v>
      </c>
      <c r="G35" t="s">
        <v>42</v>
      </c>
      <c r="H35" t="s">
        <v>86</v>
      </c>
      <c r="I35" s="16">
        <v>12962.76</v>
      </c>
    </row>
    <row r="36" spans="4:9" x14ac:dyDescent="0.75">
      <c r="F36" t="s">
        <v>101</v>
      </c>
      <c r="G36" t="s">
        <v>102</v>
      </c>
      <c r="H36" t="s">
        <v>86</v>
      </c>
      <c r="I36" s="16">
        <v>55521.780000000013</v>
      </c>
    </row>
    <row r="37" spans="4:9" x14ac:dyDescent="0.75">
      <c r="F37" t="s">
        <v>103</v>
      </c>
      <c r="G37" t="s">
        <v>44</v>
      </c>
      <c r="H37" t="s">
        <v>86</v>
      </c>
      <c r="I37" s="16">
        <v>63004</v>
      </c>
    </row>
    <row r="38" spans="4:9" x14ac:dyDescent="0.75">
      <c r="F38" t="s">
        <v>104</v>
      </c>
      <c r="G38" t="s">
        <v>48</v>
      </c>
      <c r="H38" t="s">
        <v>86</v>
      </c>
      <c r="I38" s="16">
        <v>5188858.32</v>
      </c>
    </row>
    <row r="39" spans="4:9" x14ac:dyDescent="0.75">
      <c r="F39" t="s">
        <v>105</v>
      </c>
      <c r="G39" t="s">
        <v>53</v>
      </c>
      <c r="H39" t="s">
        <v>86</v>
      </c>
      <c r="I39" s="16">
        <v>169824.58</v>
      </c>
    </row>
    <row r="40" spans="4:9" x14ac:dyDescent="0.75">
      <c r="F40" t="s">
        <v>106</v>
      </c>
      <c r="G40" t="s">
        <v>107</v>
      </c>
      <c r="H40" t="s">
        <v>86</v>
      </c>
      <c r="I40" s="16">
        <v>3449.52</v>
      </c>
    </row>
    <row r="41" spans="4:9" x14ac:dyDescent="0.75">
      <c r="F41" t="s">
        <v>108</v>
      </c>
      <c r="G41" t="s">
        <v>109</v>
      </c>
      <c r="H41" t="s">
        <v>86</v>
      </c>
      <c r="I41" s="16">
        <v>1083.1600000000001</v>
      </c>
    </row>
    <row r="42" spans="4:9" x14ac:dyDescent="0.75">
      <c r="F42" t="s">
        <v>110</v>
      </c>
      <c r="G42" t="s">
        <v>80</v>
      </c>
      <c r="H42" t="s">
        <v>86</v>
      </c>
      <c r="I42" s="16">
        <v>4164</v>
      </c>
    </row>
    <row r="43" spans="4:9" x14ac:dyDescent="0.75">
      <c r="F43" t="s">
        <v>111</v>
      </c>
      <c r="G43" t="s">
        <v>55</v>
      </c>
      <c r="H43" t="s">
        <v>86</v>
      </c>
      <c r="I43" s="16">
        <v>1241807.42</v>
      </c>
    </row>
    <row r="44" spans="4:9" x14ac:dyDescent="0.75">
      <c r="F44" t="s">
        <v>112</v>
      </c>
      <c r="G44" t="s">
        <v>46</v>
      </c>
      <c r="H44" t="s">
        <v>86</v>
      </c>
      <c r="I44" s="16">
        <v>-469280.61</v>
      </c>
    </row>
    <row r="45" spans="4:9" x14ac:dyDescent="0.75">
      <c r="D45" t="s">
        <v>113</v>
      </c>
      <c r="E45" t="s">
        <v>114</v>
      </c>
      <c r="F45" t="s">
        <v>115</v>
      </c>
      <c r="G45" t="s">
        <v>70</v>
      </c>
      <c r="H45" t="s">
        <v>116</v>
      </c>
      <c r="I45" s="16">
        <v>21166.93</v>
      </c>
    </row>
    <row r="46" spans="4:9" x14ac:dyDescent="0.75">
      <c r="F46" t="s">
        <v>118</v>
      </c>
      <c r="G46" t="s">
        <v>77</v>
      </c>
      <c r="H46" t="s">
        <v>116</v>
      </c>
      <c r="I46" s="16">
        <v>8391.65</v>
      </c>
    </row>
    <row r="47" spans="4:9" x14ac:dyDescent="0.75">
      <c r="F47" t="s">
        <v>119</v>
      </c>
      <c r="G47" t="s">
        <v>40</v>
      </c>
      <c r="H47" t="s">
        <v>116</v>
      </c>
      <c r="I47" s="16">
        <v>3917.53</v>
      </c>
    </row>
    <row r="48" spans="4:9" x14ac:dyDescent="0.75">
      <c r="F48" t="s">
        <v>120</v>
      </c>
      <c r="G48" t="s">
        <v>48</v>
      </c>
      <c r="H48" t="s">
        <v>116</v>
      </c>
      <c r="I48" s="16">
        <v>351635.88</v>
      </c>
    </row>
    <row r="49" spans="4:9" x14ac:dyDescent="0.75">
      <c r="F49" t="s">
        <v>121</v>
      </c>
      <c r="G49" t="s">
        <v>122</v>
      </c>
      <c r="H49" t="s">
        <v>116</v>
      </c>
      <c r="I49" s="16">
        <v>-125337.75</v>
      </c>
    </row>
    <row r="50" spans="4:9" x14ac:dyDescent="0.75">
      <c r="D50" t="s">
        <v>123</v>
      </c>
      <c r="E50" t="s">
        <v>124</v>
      </c>
      <c r="F50" t="s">
        <v>125</v>
      </c>
      <c r="G50" t="s">
        <v>70</v>
      </c>
      <c r="H50" t="s">
        <v>126</v>
      </c>
      <c r="I50" s="16">
        <v>27023.08</v>
      </c>
    </row>
    <row r="51" spans="4:9" x14ac:dyDescent="0.75">
      <c r="F51" t="s">
        <v>130</v>
      </c>
      <c r="G51" t="s">
        <v>36</v>
      </c>
      <c r="H51" t="s">
        <v>126</v>
      </c>
      <c r="I51" s="16">
        <v>20528.39</v>
      </c>
    </row>
    <row r="52" spans="4:9" x14ac:dyDescent="0.75">
      <c r="F52" t="s">
        <v>131</v>
      </c>
      <c r="G52" t="s">
        <v>77</v>
      </c>
      <c r="H52" t="s">
        <v>126</v>
      </c>
      <c r="I52" s="16">
        <v>7700</v>
      </c>
    </row>
    <row r="53" spans="4:9" x14ac:dyDescent="0.75">
      <c r="F53" t="s">
        <v>132</v>
      </c>
      <c r="G53" t="s">
        <v>40</v>
      </c>
      <c r="H53" t="s">
        <v>126</v>
      </c>
      <c r="I53" s="16">
        <v>25411.200000000001</v>
      </c>
    </row>
    <row r="54" spans="4:9" x14ac:dyDescent="0.75">
      <c r="F54" t="s">
        <v>133</v>
      </c>
      <c r="G54" t="s">
        <v>95</v>
      </c>
      <c r="H54" t="s">
        <v>126</v>
      </c>
      <c r="I54" s="16">
        <v>13350.94</v>
      </c>
    </row>
    <row r="55" spans="4:9" x14ac:dyDescent="0.75">
      <c r="F55" t="s">
        <v>134</v>
      </c>
      <c r="G55" t="s">
        <v>48</v>
      </c>
      <c r="H55" t="s">
        <v>126</v>
      </c>
      <c r="I55" s="16">
        <v>32618.68</v>
      </c>
    </row>
    <row r="56" spans="4:9" x14ac:dyDescent="0.75">
      <c r="F56" t="s">
        <v>135</v>
      </c>
      <c r="G56" t="s">
        <v>46</v>
      </c>
      <c r="H56" t="s">
        <v>126</v>
      </c>
      <c r="I56" s="16">
        <v>54483</v>
      </c>
    </row>
    <row r="57" spans="4:9" x14ac:dyDescent="0.75">
      <c r="D57" t="s">
        <v>136</v>
      </c>
      <c r="E57" t="s">
        <v>137</v>
      </c>
      <c r="F57" t="s">
        <v>138</v>
      </c>
      <c r="G57" t="s">
        <v>70</v>
      </c>
      <c r="H57" t="s">
        <v>140</v>
      </c>
      <c r="I57" s="16">
        <v>50818.97</v>
      </c>
    </row>
    <row r="58" spans="4:9" x14ac:dyDescent="0.75">
      <c r="F58" t="s">
        <v>142</v>
      </c>
      <c r="G58" t="s">
        <v>36</v>
      </c>
      <c r="H58" t="s">
        <v>140</v>
      </c>
      <c r="I58" s="16">
        <v>977.62999999999988</v>
      </c>
    </row>
    <row r="59" spans="4:9" x14ac:dyDescent="0.75">
      <c r="F59" t="s">
        <v>143</v>
      </c>
      <c r="G59" t="s">
        <v>77</v>
      </c>
      <c r="H59" t="s">
        <v>140</v>
      </c>
      <c r="I59" s="16">
        <v>6329.7245069999999</v>
      </c>
    </row>
    <row r="60" spans="4:9" x14ac:dyDescent="0.75">
      <c r="F60" t="s">
        <v>144</v>
      </c>
      <c r="G60" t="s">
        <v>40</v>
      </c>
      <c r="H60" t="s">
        <v>140</v>
      </c>
      <c r="I60" s="16">
        <v>-7470.6716340000003</v>
      </c>
    </row>
    <row r="61" spans="4:9" x14ac:dyDescent="0.75">
      <c r="F61" t="s">
        <v>145</v>
      </c>
      <c r="G61" t="s">
        <v>95</v>
      </c>
      <c r="H61" t="s">
        <v>140</v>
      </c>
      <c r="I61" s="16">
        <v>4139.7464069999996</v>
      </c>
    </row>
    <row r="62" spans="4:9" x14ac:dyDescent="0.75">
      <c r="F62" t="s">
        <v>146</v>
      </c>
      <c r="G62" t="s">
        <v>44</v>
      </c>
      <c r="H62" t="s">
        <v>140</v>
      </c>
      <c r="I62" s="16">
        <v>99530.868095999991</v>
      </c>
    </row>
    <row r="63" spans="4:9" x14ac:dyDescent="0.75">
      <c r="D63" t="s">
        <v>147</v>
      </c>
      <c r="E63" t="s">
        <v>148</v>
      </c>
      <c r="F63" t="s">
        <v>149</v>
      </c>
      <c r="G63" t="s">
        <v>36</v>
      </c>
      <c r="H63" t="s">
        <v>151</v>
      </c>
      <c r="I63" s="16">
        <v>23100.3</v>
      </c>
    </row>
    <row r="64" spans="4:9" x14ac:dyDescent="0.75">
      <c r="D64" t="s">
        <v>152</v>
      </c>
      <c r="E64" t="s">
        <v>153</v>
      </c>
      <c r="F64" t="s">
        <v>154</v>
      </c>
      <c r="G64" t="s">
        <v>155</v>
      </c>
      <c r="H64" t="s">
        <v>157</v>
      </c>
      <c r="I64" s="16">
        <v>13253.42</v>
      </c>
    </row>
    <row r="65" spans="4:9" x14ac:dyDescent="0.75">
      <c r="F65" t="s">
        <v>158</v>
      </c>
      <c r="G65" t="s">
        <v>159</v>
      </c>
      <c r="H65" t="s">
        <v>157</v>
      </c>
      <c r="I65" s="16">
        <v>17534.009999999998</v>
      </c>
    </row>
    <row r="66" spans="4:9" x14ac:dyDescent="0.75">
      <c r="F66" t="s">
        <v>160</v>
      </c>
      <c r="G66" t="s">
        <v>161</v>
      </c>
      <c r="H66" t="s">
        <v>157</v>
      </c>
      <c r="I66" s="16">
        <v>0</v>
      </c>
    </row>
    <row r="67" spans="4:9" x14ac:dyDescent="0.75">
      <c r="F67" t="s">
        <v>162</v>
      </c>
      <c r="G67" t="s">
        <v>163</v>
      </c>
      <c r="H67" t="s">
        <v>157</v>
      </c>
      <c r="I67" s="16">
        <v>2181.2199999999998</v>
      </c>
    </row>
    <row r="68" spans="4:9" x14ac:dyDescent="0.75">
      <c r="F68" t="s">
        <v>164</v>
      </c>
      <c r="G68" t="s">
        <v>165</v>
      </c>
      <c r="H68" t="s">
        <v>157</v>
      </c>
      <c r="I68" s="16">
        <v>80000</v>
      </c>
    </row>
    <row r="69" spans="4:9" x14ac:dyDescent="0.75">
      <c r="F69" t="s">
        <v>166</v>
      </c>
      <c r="G69" t="s">
        <v>167</v>
      </c>
      <c r="H69" t="s">
        <v>157</v>
      </c>
      <c r="I69" s="16">
        <v>2216.61</v>
      </c>
    </row>
    <row r="70" spans="4:9" x14ac:dyDescent="0.75">
      <c r="D70" t="s">
        <v>168</v>
      </c>
      <c r="E70" t="s">
        <v>169</v>
      </c>
      <c r="F70" t="s">
        <v>170</v>
      </c>
      <c r="G70" t="s">
        <v>161</v>
      </c>
      <c r="H70" t="s">
        <v>172</v>
      </c>
      <c r="I70" s="16">
        <v>458.01</v>
      </c>
    </row>
    <row r="71" spans="4:9" x14ac:dyDescent="0.75">
      <c r="D71" t="s">
        <v>179</v>
      </c>
      <c r="E71" t="s">
        <v>179</v>
      </c>
      <c r="F71" t="s">
        <v>179</v>
      </c>
      <c r="G71" t="s">
        <v>179</v>
      </c>
      <c r="H71" t="s">
        <v>179</v>
      </c>
      <c r="I71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39997558519241921"/>
  </sheetPr>
  <dimension ref="A1:R51"/>
  <sheetViews>
    <sheetView topLeftCell="K1" zoomScale="85" zoomScaleNormal="85" workbookViewId="0">
      <pane ySplit="1" topLeftCell="A2" activePane="bottomLeft" state="frozen"/>
      <selection pane="bottomLeft" activeCell="K1" sqref="K1"/>
    </sheetView>
  </sheetViews>
  <sheetFormatPr defaultRowHeight="14.75" x14ac:dyDescent="0.75"/>
  <cols>
    <col min="1" max="1" width="16.5" bestFit="1" customWidth="1"/>
    <col min="2" max="2" width="17.2265625" bestFit="1" customWidth="1"/>
    <col min="3" max="3" width="21.08984375" bestFit="1" customWidth="1"/>
    <col min="4" max="4" width="13.6796875" bestFit="1" customWidth="1"/>
    <col min="5" max="5" width="26.6796875" bestFit="1" customWidth="1"/>
    <col min="6" max="6" width="24.40625" bestFit="1" customWidth="1"/>
    <col min="7" max="7" width="18.58984375" bestFit="1" customWidth="1"/>
    <col min="8" max="8" width="26.6796875" bestFit="1" customWidth="1"/>
    <col min="9" max="9" width="22.86328125" bestFit="1" customWidth="1"/>
    <col min="10" max="10" width="16.81640625" bestFit="1" customWidth="1"/>
    <col min="11" max="11" width="13.6796875" bestFit="1" customWidth="1"/>
    <col min="12" max="12" width="9.5" bestFit="1" customWidth="1"/>
    <col min="13" max="13" width="25.81640625" bestFit="1" customWidth="1"/>
    <col min="14" max="14" width="18.1796875" bestFit="1" customWidth="1"/>
    <col min="15" max="15" width="12.2265625" bestFit="1" customWidth="1"/>
    <col min="16" max="16" width="18.04296875" bestFit="1" customWidth="1"/>
    <col min="17" max="17" width="25" bestFit="1" customWidth="1"/>
    <col min="18" max="18" width="14.58984375" bestFit="1" customWidth="1"/>
  </cols>
  <sheetData>
    <row r="1" spans="1:18" x14ac:dyDescent="0.75">
      <c r="A1" s="13" t="s">
        <v>180</v>
      </c>
      <c r="B1" s="13" t="s">
        <v>181</v>
      </c>
      <c r="C1" t="s">
        <v>182</v>
      </c>
      <c r="D1" t="s">
        <v>183</v>
      </c>
      <c r="E1" s="13" t="s">
        <v>184</v>
      </c>
      <c r="F1" s="13" t="s">
        <v>185</v>
      </c>
      <c r="G1" s="21" t="s">
        <v>186</v>
      </c>
      <c r="H1" t="s">
        <v>187</v>
      </c>
      <c r="I1" t="s">
        <v>188</v>
      </c>
      <c r="J1" t="s">
        <v>189</v>
      </c>
      <c r="K1" t="s">
        <v>190</v>
      </c>
      <c r="L1" t="s">
        <v>191</v>
      </c>
      <c r="M1" s="14" t="s">
        <v>192</v>
      </c>
      <c r="N1" t="s">
        <v>193</v>
      </c>
      <c r="O1" s="13" t="s">
        <v>194</v>
      </c>
      <c r="P1" s="13" t="s">
        <v>195</v>
      </c>
      <c r="Q1" s="14" t="s">
        <v>196</v>
      </c>
      <c r="R1" s="14" t="s">
        <v>197</v>
      </c>
    </row>
    <row r="2" spans="1:18" x14ac:dyDescent="0.75">
      <c r="A2" t="s">
        <v>198</v>
      </c>
      <c r="B2" t="s">
        <v>199</v>
      </c>
      <c r="C2" t="s">
        <v>200</v>
      </c>
      <c r="D2" t="s">
        <v>201</v>
      </c>
      <c r="E2" t="s">
        <v>202</v>
      </c>
      <c r="F2">
        <v>1</v>
      </c>
      <c r="G2">
        <v>1</v>
      </c>
      <c r="H2" t="s">
        <v>202</v>
      </c>
      <c r="I2" t="s">
        <v>203</v>
      </c>
      <c r="J2" t="s">
        <v>204</v>
      </c>
      <c r="K2" t="s">
        <v>201</v>
      </c>
      <c r="L2" t="s">
        <v>205</v>
      </c>
      <c r="M2" t="s">
        <v>206</v>
      </c>
      <c r="N2" t="s">
        <v>207</v>
      </c>
      <c r="Q2">
        <v>2652301.8537893998</v>
      </c>
      <c r="R2" t="s">
        <v>208</v>
      </c>
    </row>
    <row r="3" spans="1:18" x14ac:dyDescent="0.75">
      <c r="A3" t="s">
        <v>209</v>
      </c>
      <c r="B3" t="s">
        <v>210</v>
      </c>
      <c r="C3" t="s">
        <v>200</v>
      </c>
      <c r="D3" t="s">
        <v>212</v>
      </c>
      <c r="E3" t="s">
        <v>213</v>
      </c>
      <c r="F3">
        <v>1</v>
      </c>
      <c r="G3">
        <v>1</v>
      </c>
      <c r="H3" t="s">
        <v>213</v>
      </c>
      <c r="I3" t="s">
        <v>203</v>
      </c>
      <c r="J3" t="s">
        <v>211</v>
      </c>
      <c r="K3" t="s">
        <v>212</v>
      </c>
      <c r="L3" t="s">
        <v>214</v>
      </c>
      <c r="M3" t="s">
        <v>206</v>
      </c>
      <c r="N3" t="s">
        <v>215</v>
      </c>
      <c r="O3" t="s">
        <v>216</v>
      </c>
      <c r="P3">
        <v>84.292599999999993</v>
      </c>
      <c r="Q3">
        <v>560121.32629170001</v>
      </c>
      <c r="R3" t="s">
        <v>217</v>
      </c>
    </row>
    <row r="4" spans="1:18" x14ac:dyDescent="0.75">
      <c r="A4" t="s">
        <v>218</v>
      </c>
      <c r="B4" t="s">
        <v>219</v>
      </c>
      <c r="C4" t="s">
        <v>220</v>
      </c>
      <c r="D4" t="s">
        <v>221</v>
      </c>
      <c r="E4" t="s">
        <v>222</v>
      </c>
      <c r="F4">
        <v>1</v>
      </c>
      <c r="G4">
        <v>1</v>
      </c>
      <c r="H4" t="s">
        <v>222</v>
      </c>
      <c r="I4" t="s">
        <v>203</v>
      </c>
      <c r="J4" t="s">
        <v>204</v>
      </c>
      <c r="K4" t="s">
        <v>221</v>
      </c>
      <c r="L4" t="s">
        <v>223</v>
      </c>
      <c r="M4" t="s">
        <v>206</v>
      </c>
      <c r="N4" t="s">
        <v>207</v>
      </c>
      <c r="O4" t="s">
        <v>224</v>
      </c>
      <c r="P4">
        <v>43.584099999999999</v>
      </c>
      <c r="Q4">
        <v>554520.11303610005</v>
      </c>
      <c r="R4" t="s">
        <v>225</v>
      </c>
    </row>
    <row r="5" spans="1:18" x14ac:dyDescent="0.75">
      <c r="A5" t="s">
        <v>226</v>
      </c>
      <c r="B5" t="s">
        <v>227</v>
      </c>
      <c r="C5" t="s">
        <v>220</v>
      </c>
      <c r="D5" t="s">
        <v>228</v>
      </c>
      <c r="E5" t="s">
        <v>229</v>
      </c>
      <c r="F5">
        <v>1</v>
      </c>
      <c r="G5">
        <v>1</v>
      </c>
      <c r="H5" t="s">
        <v>229</v>
      </c>
      <c r="I5" t="s">
        <v>203</v>
      </c>
      <c r="J5" t="s">
        <v>204</v>
      </c>
      <c r="K5" t="s">
        <v>228</v>
      </c>
      <c r="L5" t="s">
        <v>230</v>
      </c>
      <c r="M5" t="s">
        <v>206</v>
      </c>
      <c r="N5" t="s">
        <v>207</v>
      </c>
      <c r="O5" t="s">
        <v>147</v>
      </c>
      <c r="P5">
        <v>44.2913</v>
      </c>
      <c r="Q5">
        <v>1371660.9737408999</v>
      </c>
      <c r="R5" t="s">
        <v>225</v>
      </c>
    </row>
    <row r="6" spans="1:18" x14ac:dyDescent="0.75">
      <c r="A6" t="s">
        <v>231</v>
      </c>
      <c r="B6" t="s">
        <v>232</v>
      </c>
      <c r="C6" t="s">
        <v>233</v>
      </c>
      <c r="D6" t="s">
        <v>234</v>
      </c>
      <c r="E6" t="s">
        <v>235</v>
      </c>
      <c r="F6">
        <v>1</v>
      </c>
      <c r="G6">
        <v>1</v>
      </c>
      <c r="H6" t="s">
        <v>235</v>
      </c>
      <c r="I6" t="s">
        <v>203</v>
      </c>
      <c r="J6" t="s">
        <v>204</v>
      </c>
      <c r="K6" t="s">
        <v>234</v>
      </c>
      <c r="L6" t="s">
        <v>236</v>
      </c>
      <c r="M6" t="s">
        <v>206</v>
      </c>
      <c r="N6" t="s">
        <v>207</v>
      </c>
      <c r="Q6">
        <v>231013.78300980001</v>
      </c>
      <c r="R6" t="s">
        <v>237</v>
      </c>
    </row>
    <row r="7" spans="1:18" x14ac:dyDescent="0.75">
      <c r="A7" t="s">
        <v>238</v>
      </c>
      <c r="B7" t="s">
        <v>239</v>
      </c>
      <c r="C7" t="s">
        <v>220</v>
      </c>
      <c r="D7" t="s">
        <v>240</v>
      </c>
      <c r="E7" t="s">
        <v>241</v>
      </c>
      <c r="F7">
        <v>1</v>
      </c>
      <c r="G7">
        <v>1</v>
      </c>
      <c r="H7" t="s">
        <v>241</v>
      </c>
      <c r="I7" t="s">
        <v>203</v>
      </c>
      <c r="J7" t="s">
        <v>242</v>
      </c>
      <c r="K7" t="s">
        <v>240</v>
      </c>
      <c r="L7" t="s">
        <v>243</v>
      </c>
      <c r="M7" t="s">
        <v>206</v>
      </c>
      <c r="N7" t="s">
        <v>244</v>
      </c>
      <c r="Q7">
        <v>98181.229885199995</v>
      </c>
      <c r="R7" t="s">
        <v>245</v>
      </c>
    </row>
    <row r="8" spans="1:18" x14ac:dyDescent="0.75">
      <c r="A8" t="s">
        <v>246</v>
      </c>
      <c r="B8" t="s">
        <v>247</v>
      </c>
      <c r="C8" t="s">
        <v>233</v>
      </c>
      <c r="D8" t="s">
        <v>248</v>
      </c>
      <c r="E8" t="s">
        <v>249</v>
      </c>
      <c r="F8">
        <v>1</v>
      </c>
      <c r="G8">
        <v>1</v>
      </c>
      <c r="H8" t="s">
        <v>249</v>
      </c>
      <c r="I8" t="s">
        <v>203</v>
      </c>
      <c r="J8" t="s">
        <v>250</v>
      </c>
      <c r="K8" t="s">
        <v>248</v>
      </c>
      <c r="L8" t="s">
        <v>251</v>
      </c>
      <c r="M8" t="s">
        <v>252</v>
      </c>
      <c r="O8" t="s">
        <v>57</v>
      </c>
      <c r="P8">
        <v>25</v>
      </c>
      <c r="Q8" s="10" t="s">
        <v>253</v>
      </c>
      <c r="R8" t="s">
        <v>62</v>
      </c>
    </row>
    <row r="9" spans="1:18" x14ac:dyDescent="0.75">
      <c r="A9" t="s">
        <v>254</v>
      </c>
      <c r="B9" t="s">
        <v>255</v>
      </c>
      <c r="C9" t="s">
        <v>233</v>
      </c>
      <c r="D9" t="s">
        <v>248</v>
      </c>
      <c r="E9" t="s">
        <v>249</v>
      </c>
      <c r="F9">
        <v>0</v>
      </c>
      <c r="G9">
        <v>0</v>
      </c>
      <c r="H9" t="s">
        <v>249</v>
      </c>
      <c r="I9" t="s">
        <v>256</v>
      </c>
      <c r="J9" t="s">
        <v>250</v>
      </c>
      <c r="K9" t="s">
        <v>248</v>
      </c>
      <c r="L9" t="s">
        <v>251</v>
      </c>
      <c r="M9" t="s">
        <v>252</v>
      </c>
      <c r="O9" t="s">
        <v>113</v>
      </c>
      <c r="P9">
        <v>50</v>
      </c>
      <c r="Q9">
        <v>0</v>
      </c>
      <c r="R9" t="s">
        <v>117</v>
      </c>
    </row>
    <row r="10" spans="1:18" x14ac:dyDescent="0.75">
      <c r="A10" t="s">
        <v>257</v>
      </c>
      <c r="B10" t="s">
        <v>258</v>
      </c>
      <c r="C10" t="s">
        <v>233</v>
      </c>
      <c r="D10" t="s">
        <v>248</v>
      </c>
      <c r="E10" t="s">
        <v>249</v>
      </c>
      <c r="F10">
        <v>0</v>
      </c>
      <c r="G10">
        <v>0</v>
      </c>
      <c r="H10" t="s">
        <v>249</v>
      </c>
      <c r="I10" t="s">
        <v>256</v>
      </c>
      <c r="J10" t="s">
        <v>250</v>
      </c>
      <c r="K10" t="s">
        <v>248</v>
      </c>
      <c r="L10" t="s">
        <v>251</v>
      </c>
      <c r="M10" t="s">
        <v>252</v>
      </c>
      <c r="O10" t="s">
        <v>57</v>
      </c>
      <c r="P10">
        <v>25</v>
      </c>
      <c r="Q10">
        <v>0</v>
      </c>
      <c r="R10" t="s">
        <v>62</v>
      </c>
    </row>
    <row r="11" spans="1:18" x14ac:dyDescent="0.75">
      <c r="A11" t="s">
        <v>259</v>
      </c>
      <c r="B11" t="s">
        <v>260</v>
      </c>
      <c r="C11" t="s">
        <v>233</v>
      </c>
      <c r="D11" t="s">
        <v>261</v>
      </c>
      <c r="G11">
        <v>0</v>
      </c>
      <c r="H11" t="s">
        <v>262</v>
      </c>
      <c r="J11" t="s">
        <v>250</v>
      </c>
      <c r="K11" t="s">
        <v>261</v>
      </c>
      <c r="L11" t="s">
        <v>263</v>
      </c>
      <c r="M11" t="s">
        <v>252</v>
      </c>
      <c r="Q11">
        <v>0</v>
      </c>
      <c r="R11" t="s">
        <v>264</v>
      </c>
    </row>
    <row r="12" spans="1:18" x14ac:dyDescent="0.75">
      <c r="A12" t="s">
        <v>265</v>
      </c>
      <c r="B12" t="s">
        <v>266</v>
      </c>
      <c r="C12" t="s">
        <v>220</v>
      </c>
      <c r="D12" t="s">
        <v>228</v>
      </c>
      <c r="E12" t="s">
        <v>267</v>
      </c>
      <c r="F12">
        <v>1</v>
      </c>
      <c r="G12">
        <v>1</v>
      </c>
      <c r="H12" t="s">
        <v>267</v>
      </c>
      <c r="I12" t="s">
        <v>203</v>
      </c>
      <c r="J12" t="s">
        <v>204</v>
      </c>
      <c r="K12" t="s">
        <v>228</v>
      </c>
      <c r="L12" t="s">
        <v>230</v>
      </c>
      <c r="M12" t="s">
        <v>206</v>
      </c>
      <c r="N12" t="s">
        <v>215</v>
      </c>
      <c r="O12" t="s">
        <v>147</v>
      </c>
      <c r="P12">
        <v>1.5448999999999999</v>
      </c>
      <c r="Q12">
        <v>47843.925458400001</v>
      </c>
      <c r="R12" t="s">
        <v>225</v>
      </c>
    </row>
    <row r="13" spans="1:18" x14ac:dyDescent="0.75">
      <c r="A13" t="s">
        <v>268</v>
      </c>
      <c r="B13" t="s">
        <v>269</v>
      </c>
      <c r="C13" t="s">
        <v>233</v>
      </c>
      <c r="D13" t="s">
        <v>270</v>
      </c>
      <c r="E13" t="s">
        <v>267</v>
      </c>
      <c r="F13">
        <v>1</v>
      </c>
      <c r="G13">
        <v>1</v>
      </c>
      <c r="H13" t="s">
        <v>267</v>
      </c>
      <c r="I13" t="s">
        <v>203</v>
      </c>
      <c r="J13" t="s">
        <v>204</v>
      </c>
      <c r="K13" t="s">
        <v>270</v>
      </c>
      <c r="L13" t="s">
        <v>271</v>
      </c>
      <c r="M13" t="s">
        <v>206</v>
      </c>
      <c r="N13" t="s">
        <v>215</v>
      </c>
      <c r="O13" t="s">
        <v>272</v>
      </c>
      <c r="P13">
        <v>33.33</v>
      </c>
      <c r="Q13">
        <v>47843.925458400001</v>
      </c>
      <c r="R13" t="s">
        <v>273</v>
      </c>
    </row>
    <row r="14" spans="1:18" x14ac:dyDescent="0.75">
      <c r="A14" t="s">
        <v>274</v>
      </c>
      <c r="B14" t="s">
        <v>275</v>
      </c>
      <c r="C14" t="s">
        <v>220</v>
      </c>
      <c r="D14" t="s">
        <v>221</v>
      </c>
      <c r="E14" t="s">
        <v>276</v>
      </c>
      <c r="F14">
        <v>1</v>
      </c>
      <c r="G14">
        <v>1</v>
      </c>
      <c r="H14" t="s">
        <v>276</v>
      </c>
      <c r="I14" t="s">
        <v>203</v>
      </c>
      <c r="J14" t="s">
        <v>250</v>
      </c>
      <c r="K14" t="s">
        <v>221</v>
      </c>
      <c r="L14" t="s">
        <v>223</v>
      </c>
      <c r="M14" t="s">
        <v>252</v>
      </c>
      <c r="O14" t="s">
        <v>82</v>
      </c>
      <c r="P14">
        <v>100</v>
      </c>
      <c r="Q14" s="10" t="s">
        <v>277</v>
      </c>
      <c r="R14" t="s">
        <v>278</v>
      </c>
    </row>
    <row r="15" spans="1:18" x14ac:dyDescent="0.75">
      <c r="A15" t="s">
        <v>279</v>
      </c>
      <c r="B15" t="s">
        <v>280</v>
      </c>
      <c r="C15" t="s">
        <v>220</v>
      </c>
      <c r="D15" t="s">
        <v>221</v>
      </c>
      <c r="E15" t="s">
        <v>276</v>
      </c>
      <c r="F15">
        <v>0</v>
      </c>
      <c r="G15">
        <v>0</v>
      </c>
      <c r="H15" t="s">
        <v>276</v>
      </c>
      <c r="J15" t="s">
        <v>250</v>
      </c>
      <c r="K15" t="s">
        <v>221</v>
      </c>
      <c r="L15" t="s">
        <v>223</v>
      </c>
      <c r="M15" t="s">
        <v>252</v>
      </c>
      <c r="O15" t="s">
        <v>123</v>
      </c>
      <c r="P15">
        <v>50</v>
      </c>
      <c r="Q15">
        <v>0</v>
      </c>
      <c r="R15" t="s">
        <v>281</v>
      </c>
    </row>
    <row r="16" spans="1:18" x14ac:dyDescent="0.75">
      <c r="A16" t="s">
        <v>282</v>
      </c>
      <c r="B16" t="s">
        <v>283</v>
      </c>
      <c r="C16" t="s">
        <v>200</v>
      </c>
      <c r="D16" t="s">
        <v>201</v>
      </c>
      <c r="E16" t="s">
        <v>284</v>
      </c>
      <c r="F16">
        <v>1</v>
      </c>
      <c r="G16">
        <v>1</v>
      </c>
      <c r="H16" t="s">
        <v>284</v>
      </c>
      <c r="I16" t="s">
        <v>203</v>
      </c>
      <c r="J16" t="s">
        <v>250</v>
      </c>
      <c r="K16" t="s">
        <v>201</v>
      </c>
      <c r="L16" t="s">
        <v>205</v>
      </c>
      <c r="M16" t="s">
        <v>206</v>
      </c>
      <c r="N16" t="s">
        <v>215</v>
      </c>
      <c r="Q16">
        <v>2044410.0742313999</v>
      </c>
      <c r="R16" t="s">
        <v>208</v>
      </c>
    </row>
    <row r="17" spans="1:18" x14ac:dyDescent="0.75">
      <c r="A17" t="s">
        <v>285</v>
      </c>
      <c r="B17" t="s">
        <v>286</v>
      </c>
      <c r="C17" t="s">
        <v>200</v>
      </c>
      <c r="D17" t="s">
        <v>287</v>
      </c>
      <c r="E17" t="s">
        <v>284</v>
      </c>
      <c r="F17">
        <v>1</v>
      </c>
      <c r="G17">
        <v>1</v>
      </c>
      <c r="H17" t="s">
        <v>284</v>
      </c>
      <c r="I17" t="s">
        <v>203</v>
      </c>
      <c r="J17" t="s">
        <v>250</v>
      </c>
      <c r="K17" t="s">
        <v>287</v>
      </c>
      <c r="L17" t="s">
        <v>288</v>
      </c>
      <c r="M17" t="s">
        <v>206</v>
      </c>
      <c r="N17" t="s">
        <v>215</v>
      </c>
      <c r="Q17">
        <v>2044410.0742313999</v>
      </c>
      <c r="R17" t="s">
        <v>208</v>
      </c>
    </row>
    <row r="18" spans="1:18" x14ac:dyDescent="0.75">
      <c r="A18" t="s">
        <v>289</v>
      </c>
      <c r="B18" t="s">
        <v>290</v>
      </c>
      <c r="C18" t="s">
        <v>220</v>
      </c>
      <c r="D18" t="s">
        <v>228</v>
      </c>
      <c r="E18" t="s">
        <v>291</v>
      </c>
      <c r="F18">
        <v>1</v>
      </c>
      <c r="G18">
        <v>1</v>
      </c>
      <c r="H18" t="s">
        <v>291</v>
      </c>
      <c r="I18" t="s">
        <v>203</v>
      </c>
      <c r="J18" t="s">
        <v>204</v>
      </c>
      <c r="K18" t="s">
        <v>228</v>
      </c>
      <c r="L18" t="s">
        <v>230</v>
      </c>
      <c r="M18" t="s">
        <v>206</v>
      </c>
      <c r="N18" t="s">
        <v>215</v>
      </c>
      <c r="O18" t="s">
        <v>147</v>
      </c>
      <c r="P18">
        <v>4.5837000000000003</v>
      </c>
      <c r="Q18">
        <v>141951.56632380001</v>
      </c>
      <c r="R18" t="s">
        <v>225</v>
      </c>
    </row>
    <row r="19" spans="1:18" x14ac:dyDescent="0.75">
      <c r="A19" t="s">
        <v>292</v>
      </c>
      <c r="B19" t="s">
        <v>293</v>
      </c>
      <c r="C19" t="s">
        <v>220</v>
      </c>
      <c r="D19" t="s">
        <v>294</v>
      </c>
      <c r="E19" t="s">
        <v>291</v>
      </c>
      <c r="F19">
        <v>1</v>
      </c>
      <c r="G19">
        <v>1</v>
      </c>
      <c r="H19" t="s">
        <v>291</v>
      </c>
      <c r="I19" t="s">
        <v>203</v>
      </c>
      <c r="J19" t="s">
        <v>204</v>
      </c>
      <c r="K19" t="s">
        <v>294</v>
      </c>
      <c r="L19" t="s">
        <v>295</v>
      </c>
      <c r="M19" t="s">
        <v>206</v>
      </c>
      <c r="N19" t="s">
        <v>215</v>
      </c>
      <c r="O19" t="s">
        <v>296</v>
      </c>
      <c r="P19">
        <v>10.8087</v>
      </c>
      <c r="Q19">
        <v>141951.56632380001</v>
      </c>
      <c r="R19" t="s">
        <v>225</v>
      </c>
    </row>
    <row r="20" spans="1:18" x14ac:dyDescent="0.75">
      <c r="A20" t="s">
        <v>297</v>
      </c>
      <c r="B20" t="s">
        <v>298</v>
      </c>
      <c r="C20" t="s">
        <v>233</v>
      </c>
      <c r="D20" t="s">
        <v>234</v>
      </c>
      <c r="E20" t="s">
        <v>291</v>
      </c>
      <c r="F20">
        <v>1</v>
      </c>
      <c r="G20">
        <v>1</v>
      </c>
      <c r="H20" t="s">
        <v>291</v>
      </c>
      <c r="I20" t="s">
        <v>203</v>
      </c>
      <c r="J20" t="s">
        <v>204</v>
      </c>
      <c r="K20" t="s">
        <v>234</v>
      </c>
      <c r="L20" t="s">
        <v>236</v>
      </c>
      <c r="M20" t="s">
        <v>206</v>
      </c>
      <c r="N20" t="s">
        <v>215</v>
      </c>
      <c r="Q20">
        <v>141951.56632380001</v>
      </c>
      <c r="R20" t="s">
        <v>237</v>
      </c>
    </row>
    <row r="21" spans="1:18" x14ac:dyDescent="0.75">
      <c r="A21" t="s">
        <v>299</v>
      </c>
      <c r="B21" t="s">
        <v>300</v>
      </c>
      <c r="C21" t="s">
        <v>233</v>
      </c>
      <c r="D21" t="s">
        <v>301</v>
      </c>
      <c r="E21" t="s">
        <v>291</v>
      </c>
      <c r="F21">
        <v>1</v>
      </c>
      <c r="G21">
        <v>1</v>
      </c>
      <c r="H21" t="s">
        <v>291</v>
      </c>
      <c r="I21" t="s">
        <v>203</v>
      </c>
      <c r="J21" t="s">
        <v>204</v>
      </c>
      <c r="K21" t="s">
        <v>301</v>
      </c>
      <c r="L21" t="s">
        <v>302</v>
      </c>
      <c r="M21" t="s">
        <v>206</v>
      </c>
      <c r="N21" t="s">
        <v>215</v>
      </c>
      <c r="Q21">
        <v>141951.56632380001</v>
      </c>
      <c r="R21" t="s">
        <v>237</v>
      </c>
    </row>
    <row r="22" spans="1:18" x14ac:dyDescent="0.75">
      <c r="A22" t="s">
        <v>303</v>
      </c>
      <c r="B22" t="s">
        <v>304</v>
      </c>
      <c r="C22" t="s">
        <v>233</v>
      </c>
      <c r="D22" t="s">
        <v>301</v>
      </c>
      <c r="E22" t="s">
        <v>291</v>
      </c>
      <c r="F22">
        <v>1</v>
      </c>
      <c r="G22">
        <v>1</v>
      </c>
      <c r="H22" t="s">
        <v>291</v>
      </c>
      <c r="I22" t="s">
        <v>203</v>
      </c>
      <c r="J22" t="s">
        <v>204</v>
      </c>
      <c r="K22" t="s">
        <v>301</v>
      </c>
      <c r="L22" t="s">
        <v>302</v>
      </c>
      <c r="M22" t="s">
        <v>206</v>
      </c>
      <c r="N22" t="s">
        <v>215</v>
      </c>
      <c r="Q22">
        <v>141951.56632380001</v>
      </c>
      <c r="R22" t="s">
        <v>237</v>
      </c>
    </row>
    <row r="23" spans="1:18" x14ac:dyDescent="0.75">
      <c r="A23" t="s">
        <v>305</v>
      </c>
      <c r="B23" t="s">
        <v>306</v>
      </c>
      <c r="C23" t="s">
        <v>220</v>
      </c>
      <c r="D23" t="s">
        <v>294</v>
      </c>
      <c r="E23" t="s">
        <v>235</v>
      </c>
      <c r="F23">
        <v>1</v>
      </c>
      <c r="G23">
        <v>1</v>
      </c>
      <c r="H23" t="s">
        <v>235</v>
      </c>
      <c r="I23" t="s">
        <v>203</v>
      </c>
      <c r="J23" t="s">
        <v>204</v>
      </c>
      <c r="K23" t="s">
        <v>294</v>
      </c>
      <c r="L23" t="s">
        <v>295</v>
      </c>
      <c r="M23" t="s">
        <v>206</v>
      </c>
      <c r="N23" t="s">
        <v>207</v>
      </c>
      <c r="O23" t="s">
        <v>296</v>
      </c>
      <c r="P23">
        <v>17.590199999999999</v>
      </c>
      <c r="Q23">
        <v>231013.78300980001</v>
      </c>
      <c r="R23" t="s">
        <v>225</v>
      </c>
    </row>
    <row r="24" spans="1:18" x14ac:dyDescent="0.75">
      <c r="A24" t="s">
        <v>307</v>
      </c>
      <c r="B24" t="s">
        <v>308</v>
      </c>
      <c r="C24" t="s">
        <v>220</v>
      </c>
      <c r="D24" t="s">
        <v>228</v>
      </c>
      <c r="E24" t="s">
        <v>310</v>
      </c>
      <c r="F24">
        <v>1</v>
      </c>
      <c r="G24">
        <v>1</v>
      </c>
      <c r="H24" t="s">
        <v>310</v>
      </c>
      <c r="I24" t="s">
        <v>203</v>
      </c>
      <c r="J24" t="s">
        <v>309</v>
      </c>
      <c r="K24" t="s">
        <v>228</v>
      </c>
      <c r="L24" t="s">
        <v>230</v>
      </c>
      <c r="M24" t="s">
        <v>206</v>
      </c>
      <c r="N24" t="s">
        <v>215</v>
      </c>
      <c r="O24">
        <v>0</v>
      </c>
      <c r="P24">
        <v>0</v>
      </c>
      <c r="Q24">
        <v>638520.8600934</v>
      </c>
      <c r="R24" t="s">
        <v>245</v>
      </c>
    </row>
    <row r="25" spans="1:18" x14ac:dyDescent="0.75">
      <c r="A25" t="s">
        <v>311</v>
      </c>
      <c r="B25" t="s">
        <v>312</v>
      </c>
      <c r="C25" t="s">
        <v>220</v>
      </c>
      <c r="D25" t="s">
        <v>313</v>
      </c>
      <c r="E25" t="s">
        <v>310</v>
      </c>
      <c r="F25">
        <v>1</v>
      </c>
      <c r="G25">
        <v>1</v>
      </c>
      <c r="H25" t="s">
        <v>310</v>
      </c>
      <c r="I25" t="s">
        <v>203</v>
      </c>
      <c r="J25" t="s">
        <v>309</v>
      </c>
      <c r="K25" t="s">
        <v>313</v>
      </c>
      <c r="L25" t="s">
        <v>314</v>
      </c>
      <c r="M25" t="s">
        <v>206</v>
      </c>
      <c r="N25" t="s">
        <v>215</v>
      </c>
      <c r="O25">
        <v>0</v>
      </c>
      <c r="P25">
        <v>0</v>
      </c>
      <c r="Q25">
        <v>638520.8600934</v>
      </c>
      <c r="R25" t="s">
        <v>245</v>
      </c>
    </row>
    <row r="26" spans="1:18" x14ac:dyDescent="0.75">
      <c r="A26" t="s">
        <v>315</v>
      </c>
      <c r="B26" t="s">
        <v>316</v>
      </c>
      <c r="C26" t="s">
        <v>220</v>
      </c>
      <c r="D26" t="s">
        <v>313</v>
      </c>
      <c r="E26" t="s">
        <v>310</v>
      </c>
      <c r="F26">
        <v>1</v>
      </c>
      <c r="G26">
        <v>1</v>
      </c>
      <c r="H26" t="s">
        <v>310</v>
      </c>
      <c r="I26" t="s">
        <v>203</v>
      </c>
      <c r="J26" t="s">
        <v>309</v>
      </c>
      <c r="K26" t="s">
        <v>313</v>
      </c>
      <c r="L26" t="s">
        <v>314</v>
      </c>
      <c r="M26" t="s">
        <v>206</v>
      </c>
      <c r="N26" t="s">
        <v>215</v>
      </c>
      <c r="O26">
        <v>0</v>
      </c>
      <c r="P26">
        <v>0</v>
      </c>
      <c r="Q26">
        <v>638520.8600934</v>
      </c>
      <c r="R26" t="s">
        <v>245</v>
      </c>
    </row>
    <row r="27" spans="1:18" x14ac:dyDescent="0.75">
      <c r="A27" t="s">
        <v>317</v>
      </c>
      <c r="B27" t="s">
        <v>318</v>
      </c>
      <c r="C27" t="s">
        <v>220</v>
      </c>
      <c r="D27" t="s">
        <v>319</v>
      </c>
      <c r="E27" t="s">
        <v>310</v>
      </c>
      <c r="F27">
        <v>1</v>
      </c>
      <c r="G27">
        <v>1</v>
      </c>
      <c r="H27" t="s">
        <v>310</v>
      </c>
      <c r="I27" t="s">
        <v>203</v>
      </c>
      <c r="J27" t="s">
        <v>309</v>
      </c>
      <c r="K27" t="s">
        <v>319</v>
      </c>
      <c r="L27" t="s">
        <v>320</v>
      </c>
      <c r="M27" t="s">
        <v>206</v>
      </c>
      <c r="N27" t="s">
        <v>215</v>
      </c>
      <c r="O27" t="s">
        <v>152</v>
      </c>
      <c r="P27">
        <v>50</v>
      </c>
      <c r="Q27">
        <v>638520.8600934</v>
      </c>
      <c r="R27" t="s">
        <v>321</v>
      </c>
    </row>
    <row r="28" spans="1:18" x14ac:dyDescent="0.75">
      <c r="A28" t="s">
        <v>322</v>
      </c>
      <c r="B28" t="s">
        <v>323</v>
      </c>
      <c r="C28" t="s">
        <v>220</v>
      </c>
      <c r="D28" t="s">
        <v>228</v>
      </c>
      <c r="E28" t="s">
        <v>324</v>
      </c>
      <c r="F28">
        <v>1</v>
      </c>
      <c r="G28">
        <v>1</v>
      </c>
      <c r="H28" t="s">
        <v>324</v>
      </c>
      <c r="I28" t="s">
        <v>203</v>
      </c>
      <c r="J28" t="s">
        <v>309</v>
      </c>
      <c r="K28" t="s">
        <v>228</v>
      </c>
      <c r="L28" t="s">
        <v>230</v>
      </c>
      <c r="M28" t="s">
        <v>206</v>
      </c>
      <c r="N28" t="s">
        <v>215</v>
      </c>
      <c r="O28">
        <v>0</v>
      </c>
      <c r="P28">
        <v>0</v>
      </c>
      <c r="Q28">
        <v>2074375.2233573999</v>
      </c>
      <c r="R28" t="s">
        <v>245</v>
      </c>
    </row>
    <row r="29" spans="1:18" x14ac:dyDescent="0.75">
      <c r="A29" t="s">
        <v>325</v>
      </c>
      <c r="B29" t="s">
        <v>326</v>
      </c>
      <c r="C29" t="s">
        <v>200</v>
      </c>
      <c r="D29" t="s">
        <v>287</v>
      </c>
      <c r="E29" t="s">
        <v>324</v>
      </c>
      <c r="F29">
        <v>1</v>
      </c>
      <c r="G29">
        <v>1</v>
      </c>
      <c r="H29" t="s">
        <v>324</v>
      </c>
      <c r="I29" t="s">
        <v>203</v>
      </c>
      <c r="J29" t="s">
        <v>309</v>
      </c>
      <c r="K29" t="s">
        <v>287</v>
      </c>
      <c r="L29" t="s">
        <v>288</v>
      </c>
      <c r="M29" t="s">
        <v>206</v>
      </c>
      <c r="N29" t="s">
        <v>215</v>
      </c>
      <c r="O29" t="s">
        <v>67</v>
      </c>
      <c r="P29">
        <v>24.55</v>
      </c>
      <c r="Q29">
        <v>2074375.2233573999</v>
      </c>
      <c r="R29" t="s">
        <v>73</v>
      </c>
    </row>
    <row r="30" spans="1:18" x14ac:dyDescent="0.75">
      <c r="A30" t="s">
        <v>327</v>
      </c>
      <c r="B30" t="s">
        <v>328</v>
      </c>
      <c r="C30" t="s">
        <v>220</v>
      </c>
      <c r="D30" t="s">
        <v>319</v>
      </c>
      <c r="E30" t="s">
        <v>324</v>
      </c>
      <c r="F30">
        <v>1</v>
      </c>
      <c r="G30">
        <v>1</v>
      </c>
      <c r="H30" t="s">
        <v>324</v>
      </c>
      <c r="I30" t="s">
        <v>203</v>
      </c>
      <c r="J30" t="s">
        <v>309</v>
      </c>
      <c r="K30" t="s">
        <v>319</v>
      </c>
      <c r="L30" t="s">
        <v>320</v>
      </c>
      <c r="M30" t="s">
        <v>206</v>
      </c>
      <c r="N30" t="s">
        <v>215</v>
      </c>
      <c r="O30">
        <v>0</v>
      </c>
      <c r="P30">
        <v>0</v>
      </c>
      <c r="Q30">
        <v>2074375.2233573999</v>
      </c>
      <c r="R30" t="s">
        <v>245</v>
      </c>
    </row>
    <row r="31" spans="1:18" x14ac:dyDescent="0.75">
      <c r="A31" t="s">
        <v>329</v>
      </c>
      <c r="B31" t="s">
        <v>330</v>
      </c>
      <c r="C31" t="s">
        <v>200</v>
      </c>
      <c r="D31" t="s">
        <v>331</v>
      </c>
      <c r="E31" t="s">
        <v>332</v>
      </c>
      <c r="F31">
        <v>1</v>
      </c>
      <c r="G31">
        <v>1</v>
      </c>
      <c r="H31" t="s">
        <v>332</v>
      </c>
      <c r="I31" t="s">
        <v>203</v>
      </c>
      <c r="J31" t="s">
        <v>309</v>
      </c>
      <c r="K31" t="s">
        <v>331</v>
      </c>
      <c r="L31" t="s">
        <v>333</v>
      </c>
      <c r="M31" t="s">
        <v>206</v>
      </c>
      <c r="N31" t="s">
        <v>244</v>
      </c>
      <c r="O31" t="s">
        <v>67</v>
      </c>
      <c r="P31">
        <v>0.28000000000000003</v>
      </c>
      <c r="Q31">
        <v>23882.884095599999</v>
      </c>
      <c r="R31" t="s">
        <v>73</v>
      </c>
    </row>
    <row r="32" spans="1:18" x14ac:dyDescent="0.75">
      <c r="A32" t="s">
        <v>334</v>
      </c>
      <c r="B32" t="s">
        <v>335</v>
      </c>
      <c r="C32" t="s">
        <v>200</v>
      </c>
      <c r="D32" t="s">
        <v>331</v>
      </c>
      <c r="E32" t="s">
        <v>332</v>
      </c>
      <c r="F32">
        <v>1</v>
      </c>
      <c r="G32">
        <v>1</v>
      </c>
      <c r="H32" t="s">
        <v>332</v>
      </c>
      <c r="I32" t="s">
        <v>203</v>
      </c>
      <c r="J32" t="s">
        <v>309</v>
      </c>
      <c r="K32" t="s">
        <v>331</v>
      </c>
      <c r="L32" t="s">
        <v>333</v>
      </c>
      <c r="M32" t="s">
        <v>206</v>
      </c>
      <c r="N32" t="s">
        <v>244</v>
      </c>
      <c r="O32" t="s">
        <v>67</v>
      </c>
      <c r="P32">
        <v>0.28000000000000003</v>
      </c>
      <c r="Q32">
        <v>23882.884095599999</v>
      </c>
      <c r="R32" t="s">
        <v>73</v>
      </c>
    </row>
    <row r="33" spans="1:18" x14ac:dyDescent="0.75">
      <c r="A33" t="s">
        <v>336</v>
      </c>
      <c r="B33" t="s">
        <v>337</v>
      </c>
      <c r="C33" t="s">
        <v>233</v>
      </c>
      <c r="D33" t="s">
        <v>338</v>
      </c>
      <c r="E33" t="s">
        <v>332</v>
      </c>
      <c r="F33">
        <v>1</v>
      </c>
      <c r="G33">
        <v>1</v>
      </c>
      <c r="H33" t="s">
        <v>332</v>
      </c>
      <c r="I33" t="s">
        <v>203</v>
      </c>
      <c r="J33" t="s">
        <v>309</v>
      </c>
      <c r="K33" t="s">
        <v>338</v>
      </c>
      <c r="L33" t="s">
        <v>339</v>
      </c>
      <c r="M33" t="s">
        <v>206</v>
      </c>
      <c r="N33" t="s">
        <v>244</v>
      </c>
      <c r="O33" t="s">
        <v>340</v>
      </c>
      <c r="P33">
        <v>100</v>
      </c>
      <c r="Q33">
        <v>23882.884095599999</v>
      </c>
      <c r="R33" t="s">
        <v>341</v>
      </c>
    </row>
    <row r="34" spans="1:18" x14ac:dyDescent="0.75">
      <c r="A34" t="s">
        <v>342</v>
      </c>
      <c r="B34" t="s">
        <v>343</v>
      </c>
      <c r="C34" t="s">
        <v>220</v>
      </c>
      <c r="D34" t="s">
        <v>344</v>
      </c>
      <c r="E34" t="s">
        <v>332</v>
      </c>
      <c r="F34">
        <v>1</v>
      </c>
      <c r="G34">
        <v>1</v>
      </c>
      <c r="H34" t="s">
        <v>332</v>
      </c>
      <c r="I34" t="s">
        <v>203</v>
      </c>
      <c r="J34" t="s">
        <v>309</v>
      </c>
      <c r="K34" t="s">
        <v>344</v>
      </c>
      <c r="L34" t="s">
        <v>345</v>
      </c>
      <c r="M34" t="s">
        <v>206</v>
      </c>
      <c r="N34" t="s">
        <v>244</v>
      </c>
      <c r="O34">
        <v>0</v>
      </c>
      <c r="P34">
        <v>0</v>
      </c>
      <c r="Q34">
        <v>23882.884095599999</v>
      </c>
      <c r="R34" t="s">
        <v>245</v>
      </c>
    </row>
    <row r="35" spans="1:18" x14ac:dyDescent="0.75">
      <c r="A35" t="s">
        <v>346</v>
      </c>
      <c r="B35" t="s">
        <v>347</v>
      </c>
      <c r="C35" t="s">
        <v>220</v>
      </c>
      <c r="D35" t="s">
        <v>294</v>
      </c>
      <c r="E35" t="s">
        <v>332</v>
      </c>
      <c r="F35">
        <v>1</v>
      </c>
      <c r="G35">
        <v>1</v>
      </c>
      <c r="H35" t="s">
        <v>332</v>
      </c>
      <c r="I35" t="s">
        <v>203</v>
      </c>
      <c r="J35" t="s">
        <v>309</v>
      </c>
      <c r="K35" t="s">
        <v>294</v>
      </c>
      <c r="L35" t="s">
        <v>295</v>
      </c>
      <c r="M35" t="s">
        <v>206</v>
      </c>
      <c r="N35" t="s">
        <v>244</v>
      </c>
      <c r="O35">
        <v>0</v>
      </c>
      <c r="P35">
        <v>0</v>
      </c>
      <c r="Q35">
        <v>23882.884095599999</v>
      </c>
      <c r="R35" t="s">
        <v>245</v>
      </c>
    </row>
    <row r="36" spans="1:18" x14ac:dyDescent="0.75">
      <c r="A36" t="s">
        <v>348</v>
      </c>
      <c r="B36" t="s">
        <v>349</v>
      </c>
      <c r="C36" t="s">
        <v>233</v>
      </c>
      <c r="D36" t="s">
        <v>338</v>
      </c>
      <c r="E36" t="s">
        <v>350</v>
      </c>
      <c r="F36">
        <v>1</v>
      </c>
      <c r="G36">
        <v>1</v>
      </c>
      <c r="H36" t="s">
        <v>350</v>
      </c>
      <c r="I36" t="s">
        <v>203</v>
      </c>
      <c r="J36" t="s">
        <v>204</v>
      </c>
      <c r="K36" t="s">
        <v>338</v>
      </c>
      <c r="L36" t="s">
        <v>339</v>
      </c>
      <c r="M36" t="s">
        <v>206</v>
      </c>
      <c r="N36" t="s">
        <v>351</v>
      </c>
      <c r="Q36">
        <v>72250.125052500007</v>
      </c>
      <c r="R36" t="s">
        <v>237</v>
      </c>
    </row>
    <row r="37" spans="1:18" x14ac:dyDescent="0.75">
      <c r="A37" t="s">
        <v>352</v>
      </c>
      <c r="B37" t="s">
        <v>353</v>
      </c>
      <c r="C37" t="s">
        <v>220</v>
      </c>
      <c r="D37" t="s">
        <v>344</v>
      </c>
      <c r="E37" t="s">
        <v>354</v>
      </c>
      <c r="F37">
        <v>1</v>
      </c>
      <c r="G37">
        <v>1</v>
      </c>
      <c r="H37" t="s">
        <v>354</v>
      </c>
      <c r="I37" t="s">
        <v>203</v>
      </c>
      <c r="J37" t="s">
        <v>204</v>
      </c>
      <c r="K37" t="s">
        <v>344</v>
      </c>
      <c r="L37" t="s">
        <v>345</v>
      </c>
      <c r="M37" t="s">
        <v>206</v>
      </c>
      <c r="N37" t="s">
        <v>244</v>
      </c>
      <c r="O37" t="s">
        <v>355</v>
      </c>
      <c r="P37">
        <v>40.031799999999997</v>
      </c>
      <c r="Q37">
        <v>72369.413371799994</v>
      </c>
      <c r="R37" t="s">
        <v>225</v>
      </c>
    </row>
    <row r="38" spans="1:18" x14ac:dyDescent="0.75">
      <c r="A38" t="s">
        <v>356</v>
      </c>
      <c r="B38" t="s">
        <v>357</v>
      </c>
      <c r="C38" t="s">
        <v>233</v>
      </c>
      <c r="D38" t="s">
        <v>338</v>
      </c>
      <c r="E38" t="s">
        <v>354</v>
      </c>
      <c r="F38">
        <v>1</v>
      </c>
      <c r="G38">
        <v>1</v>
      </c>
      <c r="H38" t="s">
        <v>354</v>
      </c>
      <c r="I38" t="s">
        <v>203</v>
      </c>
      <c r="J38" t="s">
        <v>204</v>
      </c>
      <c r="K38" t="s">
        <v>338</v>
      </c>
      <c r="L38" t="s">
        <v>339</v>
      </c>
      <c r="M38" t="s">
        <v>206</v>
      </c>
      <c r="N38" t="s">
        <v>244</v>
      </c>
      <c r="Q38">
        <v>72369.413371799994</v>
      </c>
      <c r="R38" t="s">
        <v>237</v>
      </c>
    </row>
    <row r="39" spans="1:18" x14ac:dyDescent="0.75">
      <c r="A39" t="s">
        <v>358</v>
      </c>
      <c r="B39" t="s">
        <v>359</v>
      </c>
      <c r="C39" t="s">
        <v>233</v>
      </c>
      <c r="D39" t="s">
        <v>338</v>
      </c>
      <c r="E39" t="s">
        <v>360</v>
      </c>
      <c r="F39">
        <v>1</v>
      </c>
      <c r="G39">
        <v>1</v>
      </c>
      <c r="H39" t="s">
        <v>360</v>
      </c>
      <c r="I39" t="s">
        <v>203</v>
      </c>
      <c r="J39" t="s">
        <v>204</v>
      </c>
      <c r="K39" t="s">
        <v>338</v>
      </c>
      <c r="L39" t="s">
        <v>339</v>
      </c>
      <c r="M39" t="s">
        <v>206</v>
      </c>
      <c r="N39" t="s">
        <v>244</v>
      </c>
      <c r="Q39">
        <v>77812.107480899998</v>
      </c>
      <c r="R39" t="s">
        <v>237</v>
      </c>
    </row>
    <row r="40" spans="1:18" x14ac:dyDescent="0.75">
      <c r="A40" t="s">
        <v>361</v>
      </c>
      <c r="B40" t="s">
        <v>362</v>
      </c>
      <c r="C40" t="s">
        <v>220</v>
      </c>
      <c r="D40" t="s">
        <v>344</v>
      </c>
      <c r="E40" t="s">
        <v>363</v>
      </c>
      <c r="F40">
        <v>1</v>
      </c>
      <c r="G40">
        <v>1</v>
      </c>
      <c r="H40" t="s">
        <v>363</v>
      </c>
      <c r="I40" t="s">
        <v>203</v>
      </c>
      <c r="J40" t="s">
        <v>204</v>
      </c>
      <c r="K40" t="s">
        <v>344</v>
      </c>
      <c r="L40" t="s">
        <v>345</v>
      </c>
      <c r="M40" t="s">
        <v>206</v>
      </c>
      <c r="N40" t="s">
        <v>364</v>
      </c>
      <c r="O40" t="s">
        <v>355</v>
      </c>
      <c r="P40">
        <v>30.196400000000001</v>
      </c>
      <c r="Q40">
        <v>54588.913861499997</v>
      </c>
      <c r="R40" t="s">
        <v>225</v>
      </c>
    </row>
    <row r="41" spans="1:18" x14ac:dyDescent="0.75">
      <c r="A41" t="s">
        <v>365</v>
      </c>
      <c r="B41" t="s">
        <v>366</v>
      </c>
      <c r="C41" t="s">
        <v>200</v>
      </c>
      <c r="D41" t="s">
        <v>367</v>
      </c>
      <c r="E41" t="s">
        <v>363</v>
      </c>
      <c r="F41">
        <v>1</v>
      </c>
      <c r="G41">
        <v>1</v>
      </c>
      <c r="H41" t="s">
        <v>363</v>
      </c>
      <c r="I41" t="s">
        <v>203</v>
      </c>
      <c r="J41" t="s">
        <v>204</v>
      </c>
      <c r="K41" t="s">
        <v>367</v>
      </c>
      <c r="L41" t="s">
        <v>368</v>
      </c>
      <c r="M41" t="s">
        <v>206</v>
      </c>
      <c r="N41" t="s">
        <v>364</v>
      </c>
      <c r="Q41">
        <v>54588.913861499997</v>
      </c>
      <c r="R41" t="s">
        <v>208</v>
      </c>
    </row>
    <row r="42" spans="1:18" x14ac:dyDescent="0.75">
      <c r="A42" t="s">
        <v>369</v>
      </c>
      <c r="B42" t="s">
        <v>370</v>
      </c>
      <c r="C42" t="s">
        <v>220</v>
      </c>
      <c r="D42" t="s">
        <v>221</v>
      </c>
      <c r="E42" t="s">
        <v>363</v>
      </c>
      <c r="F42">
        <v>1</v>
      </c>
      <c r="G42">
        <v>1</v>
      </c>
      <c r="H42" t="s">
        <v>363</v>
      </c>
      <c r="I42" t="s">
        <v>203</v>
      </c>
      <c r="J42" t="s">
        <v>204</v>
      </c>
      <c r="K42" t="s">
        <v>221</v>
      </c>
      <c r="L42" t="s">
        <v>223</v>
      </c>
      <c r="M42" t="s">
        <v>206</v>
      </c>
      <c r="N42" t="s">
        <v>364</v>
      </c>
      <c r="O42" t="s">
        <v>224</v>
      </c>
      <c r="P42">
        <v>4.2906000000000004</v>
      </c>
      <c r="Q42">
        <v>54588.913861499997</v>
      </c>
      <c r="R42" t="s">
        <v>225</v>
      </c>
    </row>
    <row r="43" spans="1:18" x14ac:dyDescent="0.75">
      <c r="A43" t="s">
        <v>371</v>
      </c>
      <c r="B43" t="s">
        <v>372</v>
      </c>
      <c r="C43" t="s">
        <v>200</v>
      </c>
      <c r="D43" t="s">
        <v>212</v>
      </c>
      <c r="E43" t="s">
        <v>373</v>
      </c>
      <c r="F43">
        <v>1</v>
      </c>
      <c r="G43">
        <v>1</v>
      </c>
      <c r="H43" t="s">
        <v>373</v>
      </c>
      <c r="I43" t="s">
        <v>203</v>
      </c>
      <c r="J43" t="s">
        <v>211</v>
      </c>
      <c r="K43" t="s">
        <v>212</v>
      </c>
      <c r="L43" t="s">
        <v>214</v>
      </c>
      <c r="M43" t="s">
        <v>252</v>
      </c>
      <c r="O43" t="s">
        <v>26</v>
      </c>
      <c r="P43">
        <v>100</v>
      </c>
      <c r="Q43" s="10" t="s">
        <v>374</v>
      </c>
      <c r="R43" t="s">
        <v>32</v>
      </c>
    </row>
    <row r="44" spans="1:18" x14ac:dyDescent="0.75">
      <c r="A44" t="s">
        <v>375</v>
      </c>
      <c r="B44" t="s">
        <v>376</v>
      </c>
      <c r="C44" t="s">
        <v>200</v>
      </c>
      <c r="D44" t="s">
        <v>212</v>
      </c>
      <c r="E44" t="s">
        <v>373</v>
      </c>
      <c r="F44">
        <v>0</v>
      </c>
      <c r="G44">
        <v>0</v>
      </c>
      <c r="H44" t="s">
        <v>373</v>
      </c>
      <c r="I44" t="s">
        <v>256</v>
      </c>
      <c r="J44" t="s">
        <v>211</v>
      </c>
      <c r="K44" t="s">
        <v>212</v>
      </c>
      <c r="L44" t="s">
        <v>214</v>
      </c>
      <c r="M44" t="s">
        <v>252</v>
      </c>
      <c r="O44" t="s">
        <v>136</v>
      </c>
      <c r="P44">
        <v>100</v>
      </c>
      <c r="Q44">
        <v>0</v>
      </c>
      <c r="R44" t="s">
        <v>141</v>
      </c>
    </row>
    <row r="45" spans="1:18" x14ac:dyDescent="0.75">
      <c r="A45" t="s">
        <v>377</v>
      </c>
      <c r="B45" t="s">
        <v>378</v>
      </c>
      <c r="C45" t="s">
        <v>200</v>
      </c>
      <c r="D45" t="s">
        <v>212</v>
      </c>
      <c r="E45" t="s">
        <v>373</v>
      </c>
      <c r="F45">
        <v>0</v>
      </c>
      <c r="G45">
        <v>0</v>
      </c>
      <c r="H45" t="s">
        <v>373</v>
      </c>
      <c r="I45" t="s">
        <v>256</v>
      </c>
      <c r="J45" t="s">
        <v>211</v>
      </c>
      <c r="K45" t="s">
        <v>212</v>
      </c>
      <c r="L45" t="s">
        <v>214</v>
      </c>
      <c r="M45" t="s">
        <v>252</v>
      </c>
      <c r="Q45">
        <v>0</v>
      </c>
      <c r="R45" t="s">
        <v>379</v>
      </c>
    </row>
    <row r="46" spans="1:18" x14ac:dyDescent="0.75">
      <c r="A46" t="s">
        <v>380</v>
      </c>
      <c r="B46" t="s">
        <v>381</v>
      </c>
      <c r="C46" t="s">
        <v>200</v>
      </c>
      <c r="D46" t="s">
        <v>212</v>
      </c>
      <c r="E46" t="s">
        <v>382</v>
      </c>
      <c r="F46">
        <v>0</v>
      </c>
      <c r="G46">
        <v>0</v>
      </c>
      <c r="H46" t="s">
        <v>382</v>
      </c>
      <c r="I46" t="s">
        <v>256</v>
      </c>
      <c r="J46" t="s">
        <v>211</v>
      </c>
      <c r="K46" t="s">
        <v>212</v>
      </c>
      <c r="L46" t="s">
        <v>214</v>
      </c>
      <c r="M46" t="s">
        <v>206</v>
      </c>
      <c r="N46" t="s">
        <v>215</v>
      </c>
      <c r="Q46">
        <v>0</v>
      </c>
      <c r="R46" t="s">
        <v>208</v>
      </c>
    </row>
    <row r="47" spans="1:18" x14ac:dyDescent="0.75">
      <c r="A47" t="s">
        <v>383</v>
      </c>
      <c r="B47" t="s">
        <v>384</v>
      </c>
      <c r="C47" t="s">
        <v>200</v>
      </c>
      <c r="D47" t="s">
        <v>212</v>
      </c>
      <c r="E47" t="s">
        <v>385</v>
      </c>
      <c r="F47">
        <v>1</v>
      </c>
      <c r="G47">
        <v>0</v>
      </c>
      <c r="H47" t="s">
        <v>385</v>
      </c>
      <c r="I47" t="s">
        <v>203</v>
      </c>
      <c r="J47" t="s">
        <v>211</v>
      </c>
      <c r="K47" t="s">
        <v>212</v>
      </c>
      <c r="L47" t="s">
        <v>214</v>
      </c>
      <c r="M47" t="s">
        <v>206</v>
      </c>
      <c r="N47" t="s">
        <v>351</v>
      </c>
      <c r="O47" t="s">
        <v>168</v>
      </c>
      <c r="P47">
        <v>100</v>
      </c>
      <c r="Q47">
        <v>1284404.8663107001</v>
      </c>
      <c r="R47" t="s">
        <v>173</v>
      </c>
    </row>
    <row r="48" spans="1:18" x14ac:dyDescent="0.75">
      <c r="A48" t="s">
        <v>386</v>
      </c>
      <c r="B48" t="s">
        <v>387</v>
      </c>
      <c r="C48" t="s">
        <v>200</v>
      </c>
      <c r="D48" t="s">
        <v>212</v>
      </c>
      <c r="E48" t="s">
        <v>388</v>
      </c>
      <c r="F48">
        <v>1</v>
      </c>
      <c r="G48">
        <v>1</v>
      </c>
      <c r="H48" t="s">
        <v>388</v>
      </c>
      <c r="I48" t="s">
        <v>203</v>
      </c>
      <c r="J48" t="s">
        <v>211</v>
      </c>
      <c r="K48" t="s">
        <v>212</v>
      </c>
      <c r="L48" t="s">
        <v>214</v>
      </c>
      <c r="M48" t="s">
        <v>206</v>
      </c>
      <c r="N48" t="s">
        <v>215</v>
      </c>
      <c r="O48" t="s">
        <v>389</v>
      </c>
      <c r="P48">
        <v>100</v>
      </c>
      <c r="Q48">
        <v>5626756.9962576004</v>
      </c>
      <c r="R48" t="s">
        <v>390</v>
      </c>
    </row>
    <row r="49" spans="1:18" x14ac:dyDescent="0.75">
      <c r="A49" t="s">
        <v>391</v>
      </c>
      <c r="B49" t="s">
        <v>392</v>
      </c>
      <c r="C49" t="s">
        <v>200</v>
      </c>
      <c r="D49" t="s">
        <v>212</v>
      </c>
      <c r="E49" t="s">
        <v>393</v>
      </c>
      <c r="F49">
        <v>2</v>
      </c>
      <c r="G49">
        <v>2</v>
      </c>
      <c r="H49" t="s">
        <v>393</v>
      </c>
      <c r="I49" t="s">
        <v>203</v>
      </c>
      <c r="J49" t="s">
        <v>211</v>
      </c>
      <c r="K49" t="s">
        <v>212</v>
      </c>
      <c r="L49" t="s">
        <v>214</v>
      </c>
      <c r="M49" t="s">
        <v>206</v>
      </c>
      <c r="N49" t="s">
        <v>215</v>
      </c>
      <c r="O49" t="s">
        <v>394</v>
      </c>
      <c r="P49">
        <v>48.433199999999999</v>
      </c>
      <c r="Q49">
        <v>786744.31296600006</v>
      </c>
      <c r="R49" t="s">
        <v>395</v>
      </c>
    </row>
    <row r="50" spans="1:18" x14ac:dyDescent="0.75">
      <c r="A50" t="s">
        <v>396</v>
      </c>
      <c r="B50" t="s">
        <v>397</v>
      </c>
      <c r="C50" t="s">
        <v>200</v>
      </c>
      <c r="D50" t="s">
        <v>212</v>
      </c>
      <c r="E50" t="s">
        <v>398</v>
      </c>
      <c r="F50">
        <v>1</v>
      </c>
      <c r="G50">
        <v>1</v>
      </c>
      <c r="H50" t="s">
        <v>398</v>
      </c>
      <c r="I50" t="s">
        <v>203</v>
      </c>
      <c r="J50" t="s">
        <v>211</v>
      </c>
      <c r="K50" t="s">
        <v>212</v>
      </c>
      <c r="L50" t="s">
        <v>214</v>
      </c>
      <c r="M50" t="s">
        <v>206</v>
      </c>
      <c r="N50" t="s">
        <v>215</v>
      </c>
      <c r="O50" t="s">
        <v>399</v>
      </c>
      <c r="P50">
        <v>39.706000000000003</v>
      </c>
      <c r="Q50">
        <v>1135254.4856342999</v>
      </c>
      <c r="R50" t="s">
        <v>400</v>
      </c>
    </row>
    <row r="51" spans="1:18" x14ac:dyDescent="0.75">
      <c r="A51" t="s">
        <v>401</v>
      </c>
      <c r="B51" t="s">
        <v>402</v>
      </c>
      <c r="C51" t="s">
        <v>200</v>
      </c>
      <c r="D51" t="s">
        <v>212</v>
      </c>
      <c r="E51" t="s">
        <v>398</v>
      </c>
      <c r="F51">
        <v>1</v>
      </c>
      <c r="G51">
        <v>1</v>
      </c>
      <c r="H51" t="s">
        <v>398</v>
      </c>
      <c r="I51" t="s">
        <v>203</v>
      </c>
      <c r="J51" t="s">
        <v>211</v>
      </c>
      <c r="K51" t="s">
        <v>212</v>
      </c>
      <c r="L51" t="s">
        <v>214</v>
      </c>
      <c r="M51" t="s">
        <v>206</v>
      </c>
      <c r="N51" t="s">
        <v>215</v>
      </c>
      <c r="O51" t="s">
        <v>399</v>
      </c>
      <c r="P51">
        <v>39.706000000000003</v>
      </c>
      <c r="Q51">
        <v>1135254.4856342999</v>
      </c>
      <c r="R51" t="s">
        <v>400</v>
      </c>
    </row>
  </sheetData>
  <autoFilter ref="A1:R6205" xr:uid="{00000000-0009-0000-0000-000003000000}"/>
  <conditionalFormatting sqref="A1:A1048576">
    <cfRule type="duplicateValues" dxfId="265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79998168889431442"/>
  </sheetPr>
  <dimension ref="B3:L54"/>
  <sheetViews>
    <sheetView zoomScale="85" zoomScaleNormal="85" workbookViewId="0">
      <selection activeCell="D3" sqref="D3"/>
    </sheetView>
  </sheetViews>
  <sheetFormatPr defaultRowHeight="14.75" x14ac:dyDescent="0.75"/>
  <cols>
    <col min="1" max="1" width="4.54296875" customWidth="1"/>
    <col min="2" max="2" width="14.36328125" customWidth="1"/>
    <col min="3" max="3" width="4.54296875" customWidth="1"/>
    <col min="4" max="4" width="22.86328125" style="3" bestFit="1" customWidth="1"/>
    <col min="5" max="5" width="15.40625" style="19" customWidth="1"/>
    <col min="6" max="6" width="18.54296875" bestFit="1" customWidth="1"/>
    <col min="7" max="7" width="19.04296875" bestFit="1" customWidth="1"/>
    <col min="8" max="8" width="12.86328125" style="3" bestFit="1" customWidth="1"/>
    <col min="9" max="9" width="12.26953125" bestFit="1" customWidth="1"/>
    <col min="10" max="10" width="18.54296875" bestFit="1" customWidth="1"/>
    <col min="11" max="11" width="17.2265625" bestFit="1" customWidth="1"/>
    <col min="12" max="12" width="17.54296875" style="3" bestFit="1" customWidth="1"/>
    <col min="13" max="13" width="17.54296875" bestFit="1" customWidth="1"/>
    <col min="14" max="14" width="17.54296875" customWidth="1"/>
    <col min="15" max="17" width="22.54296875" bestFit="1" customWidth="1"/>
    <col min="18" max="19" width="17.7265625" bestFit="1" customWidth="1"/>
  </cols>
  <sheetData>
    <row r="3" spans="2:11" x14ac:dyDescent="0.75">
      <c r="B3" s="1"/>
      <c r="D3" s="15" t="s">
        <v>184</v>
      </c>
      <c r="E3" s="17" t="s">
        <v>185</v>
      </c>
      <c r="F3" s="15" t="s">
        <v>180</v>
      </c>
      <c r="G3" s="15" t="s">
        <v>181</v>
      </c>
      <c r="H3" s="15" t="s">
        <v>197</v>
      </c>
      <c r="I3" s="17" t="s">
        <v>194</v>
      </c>
      <c r="J3" s="18" t="s">
        <v>195</v>
      </c>
      <c r="K3" t="s">
        <v>403</v>
      </c>
    </row>
    <row r="4" spans="2:11" x14ac:dyDescent="0.75">
      <c r="D4" t="s">
        <v>363</v>
      </c>
      <c r="E4">
        <v>1</v>
      </c>
      <c r="F4" t="s">
        <v>361</v>
      </c>
      <c r="G4" t="s">
        <v>362</v>
      </c>
      <c r="H4" t="s">
        <v>225</v>
      </c>
      <c r="I4" t="s">
        <v>355</v>
      </c>
      <c r="J4">
        <v>30.196400000000001</v>
      </c>
      <c r="K4" s="16">
        <v>54588.913861499997</v>
      </c>
    </row>
    <row r="5" spans="2:11" x14ac:dyDescent="0.75">
      <c r="D5"/>
      <c r="E5"/>
      <c r="F5" t="s">
        <v>365</v>
      </c>
      <c r="G5" t="s">
        <v>366</v>
      </c>
      <c r="H5" t="s">
        <v>208</v>
      </c>
      <c r="I5" s="3" t="s">
        <v>179</v>
      </c>
      <c r="J5" s="19" t="s">
        <v>179</v>
      </c>
      <c r="K5" s="16">
        <v>54588.913861499997</v>
      </c>
    </row>
    <row r="6" spans="2:11" x14ac:dyDescent="0.75">
      <c r="D6"/>
      <c r="E6"/>
      <c r="F6" t="s">
        <v>369</v>
      </c>
      <c r="G6" t="s">
        <v>370</v>
      </c>
      <c r="H6" t="s">
        <v>225</v>
      </c>
      <c r="I6" t="s">
        <v>224</v>
      </c>
      <c r="J6">
        <v>4.2906000000000004</v>
      </c>
      <c r="K6" s="16">
        <v>54588.913861499997</v>
      </c>
    </row>
    <row r="7" spans="2:11" x14ac:dyDescent="0.75">
      <c r="D7" t="s">
        <v>310</v>
      </c>
      <c r="E7">
        <v>1</v>
      </c>
      <c r="F7" t="s">
        <v>307</v>
      </c>
      <c r="G7" t="s">
        <v>308</v>
      </c>
      <c r="H7" t="s">
        <v>245</v>
      </c>
      <c r="I7" s="3">
        <v>0</v>
      </c>
      <c r="J7" s="19">
        <v>0</v>
      </c>
      <c r="K7" s="16">
        <v>638520.8600934</v>
      </c>
    </row>
    <row r="8" spans="2:11" x14ac:dyDescent="0.75">
      <c r="D8"/>
      <c r="E8"/>
      <c r="F8" t="s">
        <v>311</v>
      </c>
      <c r="G8" t="s">
        <v>312</v>
      </c>
      <c r="H8" t="s">
        <v>245</v>
      </c>
      <c r="I8" s="3">
        <v>0</v>
      </c>
      <c r="J8" s="19">
        <v>0</v>
      </c>
      <c r="K8" s="16">
        <v>638520.8600934</v>
      </c>
    </row>
    <row r="9" spans="2:11" x14ac:dyDescent="0.75">
      <c r="D9"/>
      <c r="E9"/>
      <c r="F9" t="s">
        <v>315</v>
      </c>
      <c r="G9" t="s">
        <v>316</v>
      </c>
      <c r="H9" t="s">
        <v>245</v>
      </c>
      <c r="I9" s="3">
        <v>0</v>
      </c>
      <c r="J9" s="19">
        <v>0</v>
      </c>
      <c r="K9" s="16">
        <v>638520.8600934</v>
      </c>
    </row>
    <row r="10" spans="2:11" x14ac:dyDescent="0.75">
      <c r="D10"/>
      <c r="E10"/>
      <c r="F10" t="s">
        <v>317</v>
      </c>
      <c r="G10" t="s">
        <v>318</v>
      </c>
      <c r="H10" t="s">
        <v>321</v>
      </c>
      <c r="I10" t="s">
        <v>152</v>
      </c>
      <c r="J10">
        <v>50</v>
      </c>
      <c r="K10" s="16">
        <v>638520.8600934</v>
      </c>
    </row>
    <row r="11" spans="2:11" x14ac:dyDescent="0.75">
      <c r="D11" t="s">
        <v>360</v>
      </c>
      <c r="E11">
        <v>1</v>
      </c>
      <c r="F11" t="s">
        <v>358</v>
      </c>
      <c r="G11" t="s">
        <v>359</v>
      </c>
      <c r="H11" t="s">
        <v>237</v>
      </c>
      <c r="I11" s="3" t="s">
        <v>179</v>
      </c>
      <c r="J11" s="19" t="s">
        <v>179</v>
      </c>
      <c r="K11" s="16">
        <v>77812.107480899998</v>
      </c>
    </row>
    <row r="12" spans="2:11" x14ac:dyDescent="0.75">
      <c r="D12" t="s">
        <v>354</v>
      </c>
      <c r="E12">
        <v>1</v>
      </c>
      <c r="F12" t="s">
        <v>352</v>
      </c>
      <c r="G12" t="s">
        <v>353</v>
      </c>
      <c r="H12" t="s">
        <v>225</v>
      </c>
      <c r="I12" t="s">
        <v>355</v>
      </c>
      <c r="J12">
        <v>40.031799999999997</v>
      </c>
      <c r="K12" s="16">
        <v>72369.413371799994</v>
      </c>
    </row>
    <row r="13" spans="2:11" x14ac:dyDescent="0.75">
      <c r="D13"/>
      <c r="E13"/>
      <c r="F13" t="s">
        <v>356</v>
      </c>
      <c r="G13" t="s">
        <v>357</v>
      </c>
      <c r="H13" t="s">
        <v>237</v>
      </c>
      <c r="I13" s="3" t="s">
        <v>179</v>
      </c>
      <c r="J13" s="19" t="s">
        <v>179</v>
      </c>
      <c r="K13" s="16">
        <v>72369.413371799994</v>
      </c>
    </row>
    <row r="14" spans="2:11" x14ac:dyDescent="0.75">
      <c r="D14" t="s">
        <v>350</v>
      </c>
      <c r="E14">
        <v>1</v>
      </c>
      <c r="F14" t="s">
        <v>348</v>
      </c>
      <c r="G14" t="s">
        <v>349</v>
      </c>
      <c r="H14" t="s">
        <v>237</v>
      </c>
      <c r="I14" s="3" t="s">
        <v>179</v>
      </c>
      <c r="J14" s="19" t="s">
        <v>179</v>
      </c>
      <c r="K14" s="16">
        <v>72250.125052500007</v>
      </c>
    </row>
    <row r="15" spans="2:11" x14ac:dyDescent="0.75">
      <c r="D15" t="s">
        <v>291</v>
      </c>
      <c r="E15">
        <v>1</v>
      </c>
      <c r="F15" t="s">
        <v>289</v>
      </c>
      <c r="G15" t="s">
        <v>290</v>
      </c>
      <c r="H15" t="s">
        <v>225</v>
      </c>
      <c r="I15" t="s">
        <v>147</v>
      </c>
      <c r="J15">
        <v>4.5837000000000003</v>
      </c>
      <c r="K15" s="16">
        <v>141951.56632380001</v>
      </c>
    </row>
    <row r="16" spans="2:11" x14ac:dyDescent="0.75">
      <c r="D16"/>
      <c r="E16"/>
      <c r="F16" t="s">
        <v>292</v>
      </c>
      <c r="G16" t="s">
        <v>293</v>
      </c>
      <c r="H16" t="s">
        <v>225</v>
      </c>
      <c r="I16" t="s">
        <v>296</v>
      </c>
      <c r="J16">
        <v>10.8087</v>
      </c>
      <c r="K16" s="16">
        <v>141951.56632380001</v>
      </c>
    </row>
    <row r="17" spans="4:11" x14ac:dyDescent="0.75">
      <c r="D17"/>
      <c r="E17"/>
      <c r="F17" t="s">
        <v>297</v>
      </c>
      <c r="G17" t="s">
        <v>298</v>
      </c>
      <c r="H17" t="s">
        <v>237</v>
      </c>
      <c r="I17" s="3" t="s">
        <v>179</v>
      </c>
      <c r="J17" s="19" t="s">
        <v>179</v>
      </c>
      <c r="K17" s="16">
        <v>141951.56632380001</v>
      </c>
    </row>
    <row r="18" spans="4:11" x14ac:dyDescent="0.75">
      <c r="D18"/>
      <c r="E18"/>
      <c r="F18" t="s">
        <v>299</v>
      </c>
      <c r="G18" t="s">
        <v>300</v>
      </c>
      <c r="H18" t="s">
        <v>237</v>
      </c>
      <c r="I18" s="3" t="s">
        <v>179</v>
      </c>
      <c r="J18" s="19" t="s">
        <v>179</v>
      </c>
      <c r="K18" s="16">
        <v>141951.56632380001</v>
      </c>
    </row>
    <row r="19" spans="4:11" x14ac:dyDescent="0.75">
      <c r="D19"/>
      <c r="E19"/>
      <c r="F19" t="s">
        <v>303</v>
      </c>
      <c r="G19" t="s">
        <v>304</v>
      </c>
      <c r="H19" t="s">
        <v>237</v>
      </c>
      <c r="I19" s="3" t="s">
        <v>179</v>
      </c>
      <c r="J19" s="19" t="s">
        <v>179</v>
      </c>
      <c r="K19" s="16">
        <v>141951.56632380001</v>
      </c>
    </row>
    <row r="20" spans="4:11" x14ac:dyDescent="0.75">
      <c r="D20" t="s">
        <v>284</v>
      </c>
      <c r="E20">
        <v>1</v>
      </c>
      <c r="F20" t="s">
        <v>282</v>
      </c>
      <c r="G20" t="s">
        <v>283</v>
      </c>
      <c r="H20" t="s">
        <v>208</v>
      </c>
      <c r="I20" s="3" t="s">
        <v>179</v>
      </c>
      <c r="J20" s="19" t="s">
        <v>179</v>
      </c>
      <c r="K20" s="16">
        <v>2044410.0742313999</v>
      </c>
    </row>
    <row r="21" spans="4:11" x14ac:dyDescent="0.75">
      <c r="D21"/>
      <c r="E21"/>
      <c r="F21" t="s">
        <v>285</v>
      </c>
      <c r="G21" t="s">
        <v>286</v>
      </c>
      <c r="H21" t="s">
        <v>208</v>
      </c>
      <c r="I21" s="3" t="s">
        <v>179</v>
      </c>
      <c r="J21" s="19" t="s">
        <v>179</v>
      </c>
      <c r="K21" s="16">
        <v>2044410.0742313999</v>
      </c>
    </row>
    <row r="22" spans="4:11" x14ac:dyDescent="0.75">
      <c r="D22" t="s">
        <v>179</v>
      </c>
      <c r="E22" t="s">
        <v>179</v>
      </c>
      <c r="F22" t="s">
        <v>259</v>
      </c>
      <c r="G22" t="s">
        <v>260</v>
      </c>
      <c r="H22" t="s">
        <v>264</v>
      </c>
      <c r="I22" s="3" t="s">
        <v>179</v>
      </c>
      <c r="J22" s="19" t="s">
        <v>179</v>
      </c>
      <c r="K22" s="16">
        <v>0</v>
      </c>
    </row>
    <row r="23" spans="4:11" x14ac:dyDescent="0.75">
      <c r="D23"/>
      <c r="E23"/>
      <c r="F23" t="s">
        <v>179</v>
      </c>
      <c r="G23" t="s">
        <v>179</v>
      </c>
      <c r="H23" t="s">
        <v>179</v>
      </c>
      <c r="I23" s="3" t="s">
        <v>179</v>
      </c>
      <c r="J23" s="19" t="s">
        <v>179</v>
      </c>
      <c r="K23" s="16"/>
    </row>
    <row r="24" spans="4:11" x14ac:dyDescent="0.75">
      <c r="D24" t="s">
        <v>202</v>
      </c>
      <c r="E24">
        <v>1</v>
      </c>
      <c r="F24" t="s">
        <v>198</v>
      </c>
      <c r="G24" t="s">
        <v>199</v>
      </c>
      <c r="H24" t="s">
        <v>208</v>
      </c>
      <c r="I24" s="3" t="s">
        <v>179</v>
      </c>
      <c r="J24" s="19" t="s">
        <v>179</v>
      </c>
      <c r="K24" s="16">
        <v>2652301.8537893998</v>
      </c>
    </row>
    <row r="25" spans="4:11" x14ac:dyDescent="0.75">
      <c r="D25" t="s">
        <v>213</v>
      </c>
      <c r="E25">
        <v>1</v>
      </c>
      <c r="F25" t="s">
        <v>209</v>
      </c>
      <c r="G25" t="s">
        <v>210</v>
      </c>
      <c r="H25" t="s">
        <v>217</v>
      </c>
      <c r="I25" t="s">
        <v>216</v>
      </c>
      <c r="J25">
        <v>84.292599999999993</v>
      </c>
      <c r="K25" s="16">
        <v>560121.32629170001</v>
      </c>
    </row>
    <row r="26" spans="4:11" x14ac:dyDescent="0.75">
      <c r="D26" t="s">
        <v>222</v>
      </c>
      <c r="E26">
        <v>1</v>
      </c>
      <c r="F26" t="s">
        <v>218</v>
      </c>
      <c r="G26" t="s">
        <v>219</v>
      </c>
      <c r="H26" t="s">
        <v>225</v>
      </c>
      <c r="I26" t="s">
        <v>224</v>
      </c>
      <c r="J26">
        <v>43.584099999999999</v>
      </c>
      <c r="K26" s="16">
        <v>554520.11303610005</v>
      </c>
    </row>
    <row r="27" spans="4:11" x14ac:dyDescent="0.75">
      <c r="D27" t="s">
        <v>229</v>
      </c>
      <c r="E27">
        <v>1</v>
      </c>
      <c r="F27" t="s">
        <v>226</v>
      </c>
      <c r="G27" t="s">
        <v>227</v>
      </c>
      <c r="H27" t="s">
        <v>225</v>
      </c>
      <c r="I27" t="s">
        <v>147</v>
      </c>
      <c r="J27">
        <v>44.2913</v>
      </c>
      <c r="K27" s="16">
        <v>1371660.9737408999</v>
      </c>
    </row>
    <row r="28" spans="4:11" x14ac:dyDescent="0.75">
      <c r="D28" t="s">
        <v>235</v>
      </c>
      <c r="E28">
        <v>1</v>
      </c>
      <c r="F28" t="s">
        <v>231</v>
      </c>
      <c r="G28" t="s">
        <v>232</v>
      </c>
      <c r="H28" t="s">
        <v>237</v>
      </c>
      <c r="I28" s="3" t="s">
        <v>179</v>
      </c>
      <c r="J28" s="19" t="s">
        <v>179</v>
      </c>
      <c r="K28" s="16">
        <v>231013.78300980001</v>
      </c>
    </row>
    <row r="29" spans="4:11" x14ac:dyDescent="0.75">
      <c r="D29"/>
      <c r="E29"/>
      <c r="F29" t="s">
        <v>305</v>
      </c>
      <c r="G29" t="s">
        <v>306</v>
      </c>
      <c r="H29" t="s">
        <v>225</v>
      </c>
      <c r="I29" t="s">
        <v>296</v>
      </c>
      <c r="J29">
        <v>17.590199999999999</v>
      </c>
      <c r="K29" s="16">
        <v>231013.78300980001</v>
      </c>
    </row>
    <row r="30" spans="4:11" x14ac:dyDescent="0.75">
      <c r="D30" t="s">
        <v>241</v>
      </c>
      <c r="E30">
        <v>1</v>
      </c>
      <c r="F30" t="s">
        <v>238</v>
      </c>
      <c r="G30" t="s">
        <v>239</v>
      </c>
      <c r="H30" t="s">
        <v>245</v>
      </c>
      <c r="I30" s="3" t="s">
        <v>179</v>
      </c>
      <c r="J30" s="19" t="s">
        <v>179</v>
      </c>
      <c r="K30" s="16">
        <v>98181.229885199995</v>
      </c>
    </row>
    <row r="31" spans="4:11" x14ac:dyDescent="0.75">
      <c r="D31" t="s">
        <v>249</v>
      </c>
      <c r="E31">
        <v>0</v>
      </c>
      <c r="F31" t="s">
        <v>254</v>
      </c>
      <c r="G31" t="s">
        <v>255</v>
      </c>
      <c r="H31" t="s">
        <v>117</v>
      </c>
      <c r="I31" t="s">
        <v>113</v>
      </c>
      <c r="J31">
        <v>50</v>
      </c>
      <c r="K31" s="16">
        <v>0</v>
      </c>
    </row>
    <row r="32" spans="4:11" x14ac:dyDescent="0.75">
      <c r="D32"/>
      <c r="E32"/>
      <c r="F32" t="s">
        <v>257</v>
      </c>
      <c r="G32" t="s">
        <v>258</v>
      </c>
      <c r="H32" t="s">
        <v>62</v>
      </c>
      <c r="I32" t="s">
        <v>57</v>
      </c>
      <c r="J32">
        <v>25</v>
      </c>
      <c r="K32" s="16">
        <v>0</v>
      </c>
    </row>
    <row r="33" spans="4:11" x14ac:dyDescent="0.75">
      <c r="D33"/>
      <c r="E33">
        <v>1</v>
      </c>
      <c r="F33" t="s">
        <v>246</v>
      </c>
      <c r="G33" t="s">
        <v>247</v>
      </c>
      <c r="H33" t="s">
        <v>62</v>
      </c>
      <c r="I33" t="s">
        <v>57</v>
      </c>
      <c r="J33">
        <v>25</v>
      </c>
      <c r="K33" s="16">
        <v>0</v>
      </c>
    </row>
    <row r="34" spans="4:11" x14ac:dyDescent="0.75">
      <c r="D34" t="s">
        <v>267</v>
      </c>
      <c r="E34">
        <v>1</v>
      </c>
      <c r="F34" t="s">
        <v>265</v>
      </c>
      <c r="G34" t="s">
        <v>266</v>
      </c>
      <c r="H34" t="s">
        <v>225</v>
      </c>
      <c r="I34" t="s">
        <v>147</v>
      </c>
      <c r="J34">
        <v>1.5448999999999999</v>
      </c>
      <c r="K34" s="16">
        <v>47843.925458400001</v>
      </c>
    </row>
    <row r="35" spans="4:11" x14ac:dyDescent="0.75">
      <c r="D35"/>
      <c r="E35"/>
      <c r="F35" t="s">
        <v>268</v>
      </c>
      <c r="G35" t="s">
        <v>269</v>
      </c>
      <c r="H35" t="s">
        <v>273</v>
      </c>
      <c r="I35" t="s">
        <v>272</v>
      </c>
      <c r="J35">
        <v>33.33</v>
      </c>
      <c r="K35" s="16">
        <v>47843.925458400001</v>
      </c>
    </row>
    <row r="36" spans="4:11" x14ac:dyDescent="0.75">
      <c r="D36" t="s">
        <v>276</v>
      </c>
      <c r="E36">
        <v>0</v>
      </c>
      <c r="F36" t="s">
        <v>279</v>
      </c>
      <c r="G36" t="s">
        <v>280</v>
      </c>
      <c r="H36" t="s">
        <v>281</v>
      </c>
      <c r="I36" t="s">
        <v>123</v>
      </c>
      <c r="J36">
        <v>50</v>
      </c>
      <c r="K36" s="16">
        <v>0</v>
      </c>
    </row>
    <row r="37" spans="4:11" x14ac:dyDescent="0.75">
      <c r="D37"/>
      <c r="E37">
        <v>1</v>
      </c>
      <c r="F37" t="s">
        <v>274</v>
      </c>
      <c r="G37" t="s">
        <v>275</v>
      </c>
      <c r="H37" t="s">
        <v>278</v>
      </c>
      <c r="I37" t="s">
        <v>82</v>
      </c>
      <c r="J37">
        <v>100</v>
      </c>
      <c r="K37" s="16">
        <v>0</v>
      </c>
    </row>
    <row r="38" spans="4:11" x14ac:dyDescent="0.75">
      <c r="D38" t="s">
        <v>324</v>
      </c>
      <c r="E38">
        <v>1</v>
      </c>
      <c r="F38" t="s">
        <v>322</v>
      </c>
      <c r="G38" t="s">
        <v>323</v>
      </c>
      <c r="H38" t="s">
        <v>245</v>
      </c>
      <c r="I38" s="3">
        <v>0</v>
      </c>
      <c r="J38" s="19">
        <v>0</v>
      </c>
      <c r="K38" s="16">
        <v>2074375.2233573999</v>
      </c>
    </row>
    <row r="39" spans="4:11" x14ac:dyDescent="0.75">
      <c r="D39"/>
      <c r="E39"/>
      <c r="F39" t="s">
        <v>325</v>
      </c>
      <c r="G39" t="s">
        <v>326</v>
      </c>
      <c r="H39" t="s">
        <v>73</v>
      </c>
      <c r="I39" t="s">
        <v>67</v>
      </c>
      <c r="J39">
        <v>24.55</v>
      </c>
      <c r="K39" s="16">
        <v>2074375.2233573999</v>
      </c>
    </row>
    <row r="40" spans="4:11" x14ac:dyDescent="0.75">
      <c r="D40"/>
      <c r="E40"/>
      <c r="F40" t="s">
        <v>327</v>
      </c>
      <c r="G40" t="s">
        <v>328</v>
      </c>
      <c r="H40" t="s">
        <v>245</v>
      </c>
      <c r="I40" s="3">
        <v>0</v>
      </c>
      <c r="J40" s="19">
        <v>0</v>
      </c>
      <c r="K40" s="16">
        <v>2074375.2233573999</v>
      </c>
    </row>
    <row r="41" spans="4:11" x14ac:dyDescent="0.75">
      <c r="D41" t="s">
        <v>332</v>
      </c>
      <c r="E41">
        <v>1</v>
      </c>
      <c r="F41" t="s">
        <v>329</v>
      </c>
      <c r="G41" t="s">
        <v>330</v>
      </c>
      <c r="H41" t="s">
        <v>73</v>
      </c>
      <c r="I41" t="s">
        <v>67</v>
      </c>
      <c r="J41">
        <v>0.28000000000000003</v>
      </c>
      <c r="K41" s="16">
        <v>23882.884095599999</v>
      </c>
    </row>
    <row r="42" spans="4:11" x14ac:dyDescent="0.75">
      <c r="D42"/>
      <c r="E42"/>
      <c r="F42" t="s">
        <v>334</v>
      </c>
      <c r="G42" t="s">
        <v>335</v>
      </c>
      <c r="H42" t="s">
        <v>73</v>
      </c>
      <c r="I42" t="s">
        <v>67</v>
      </c>
      <c r="J42">
        <v>0.28000000000000003</v>
      </c>
      <c r="K42" s="16">
        <v>23882.884095599999</v>
      </c>
    </row>
    <row r="43" spans="4:11" x14ac:dyDescent="0.75">
      <c r="D43"/>
      <c r="E43"/>
      <c r="F43" t="s">
        <v>336</v>
      </c>
      <c r="G43" t="s">
        <v>337</v>
      </c>
      <c r="H43" t="s">
        <v>341</v>
      </c>
      <c r="I43" t="s">
        <v>340</v>
      </c>
      <c r="J43">
        <v>100</v>
      </c>
      <c r="K43" s="16">
        <v>23882.884095599999</v>
      </c>
    </row>
    <row r="44" spans="4:11" x14ac:dyDescent="0.75">
      <c r="D44"/>
      <c r="E44"/>
      <c r="F44" t="s">
        <v>342</v>
      </c>
      <c r="G44" t="s">
        <v>343</v>
      </c>
      <c r="H44" t="s">
        <v>245</v>
      </c>
      <c r="I44" s="3">
        <v>0</v>
      </c>
      <c r="J44" s="19">
        <v>0</v>
      </c>
      <c r="K44" s="16">
        <v>23882.884095599999</v>
      </c>
    </row>
    <row r="45" spans="4:11" x14ac:dyDescent="0.75">
      <c r="D45"/>
      <c r="E45"/>
      <c r="F45" t="s">
        <v>346</v>
      </c>
      <c r="G45" t="s">
        <v>347</v>
      </c>
      <c r="H45" t="s">
        <v>245</v>
      </c>
      <c r="I45" s="3">
        <v>0</v>
      </c>
      <c r="J45" s="19">
        <v>0</v>
      </c>
      <c r="K45" s="16">
        <v>23882.884095599999</v>
      </c>
    </row>
    <row r="46" spans="4:11" x14ac:dyDescent="0.75">
      <c r="D46" t="s">
        <v>373</v>
      </c>
      <c r="E46">
        <v>0</v>
      </c>
      <c r="F46" t="s">
        <v>375</v>
      </c>
      <c r="G46" t="s">
        <v>376</v>
      </c>
      <c r="H46" t="s">
        <v>141</v>
      </c>
      <c r="I46" t="s">
        <v>136</v>
      </c>
      <c r="J46">
        <v>100</v>
      </c>
      <c r="K46" s="16">
        <v>0</v>
      </c>
    </row>
    <row r="47" spans="4:11" x14ac:dyDescent="0.75">
      <c r="D47"/>
      <c r="E47"/>
      <c r="F47" t="s">
        <v>377</v>
      </c>
      <c r="G47" t="s">
        <v>378</v>
      </c>
      <c r="H47" t="s">
        <v>379</v>
      </c>
      <c r="I47" s="3" t="s">
        <v>179</v>
      </c>
      <c r="J47" s="19" t="s">
        <v>179</v>
      </c>
      <c r="K47" s="16">
        <v>0</v>
      </c>
    </row>
    <row r="48" spans="4:11" x14ac:dyDescent="0.75">
      <c r="D48"/>
      <c r="E48">
        <v>1</v>
      </c>
      <c r="F48" t="s">
        <v>371</v>
      </c>
      <c r="G48" t="s">
        <v>372</v>
      </c>
      <c r="H48" t="s">
        <v>32</v>
      </c>
      <c r="I48" t="s">
        <v>26</v>
      </c>
      <c r="J48">
        <v>100</v>
      </c>
      <c r="K48" s="16">
        <v>0</v>
      </c>
    </row>
    <row r="49" spans="4:11" x14ac:dyDescent="0.75">
      <c r="D49" t="s">
        <v>382</v>
      </c>
      <c r="E49">
        <v>0</v>
      </c>
      <c r="F49" t="s">
        <v>380</v>
      </c>
      <c r="G49" t="s">
        <v>381</v>
      </c>
      <c r="H49" t="s">
        <v>208</v>
      </c>
      <c r="I49" s="3" t="s">
        <v>179</v>
      </c>
      <c r="J49" s="19" t="s">
        <v>179</v>
      </c>
      <c r="K49" s="16">
        <v>0</v>
      </c>
    </row>
    <row r="50" spans="4:11" x14ac:dyDescent="0.75">
      <c r="D50" t="s">
        <v>385</v>
      </c>
      <c r="E50">
        <v>1</v>
      </c>
      <c r="F50" t="s">
        <v>383</v>
      </c>
      <c r="G50" t="s">
        <v>384</v>
      </c>
      <c r="H50" t="s">
        <v>173</v>
      </c>
      <c r="I50" t="s">
        <v>168</v>
      </c>
      <c r="J50">
        <v>100</v>
      </c>
      <c r="K50" s="16">
        <v>1284404.8663107001</v>
      </c>
    </row>
    <row r="51" spans="4:11" x14ac:dyDescent="0.75">
      <c r="D51" t="s">
        <v>388</v>
      </c>
      <c r="E51">
        <v>1</v>
      </c>
      <c r="F51" t="s">
        <v>386</v>
      </c>
      <c r="G51" t="s">
        <v>387</v>
      </c>
      <c r="H51" t="s">
        <v>390</v>
      </c>
      <c r="I51" t="s">
        <v>389</v>
      </c>
      <c r="J51">
        <v>100</v>
      </c>
      <c r="K51" s="16">
        <v>5626756.9962576004</v>
      </c>
    </row>
    <row r="52" spans="4:11" x14ac:dyDescent="0.75">
      <c r="D52" t="s">
        <v>393</v>
      </c>
      <c r="E52">
        <v>2</v>
      </c>
      <c r="F52" t="s">
        <v>391</v>
      </c>
      <c r="G52" t="s">
        <v>392</v>
      </c>
      <c r="H52" t="s">
        <v>395</v>
      </c>
      <c r="I52" t="s">
        <v>394</v>
      </c>
      <c r="J52">
        <v>48.433199999999999</v>
      </c>
      <c r="K52" s="16">
        <v>786744.31296600006</v>
      </c>
    </row>
    <row r="53" spans="4:11" x14ac:dyDescent="0.75">
      <c r="D53" t="s">
        <v>398</v>
      </c>
      <c r="E53">
        <v>1</v>
      </c>
      <c r="F53" t="s">
        <v>396</v>
      </c>
      <c r="G53" t="s">
        <v>397</v>
      </c>
      <c r="H53" t="s">
        <v>400</v>
      </c>
      <c r="I53" t="s">
        <v>399</v>
      </c>
      <c r="J53">
        <v>39.706000000000003</v>
      </c>
      <c r="K53" s="16">
        <v>1135254.4856342999</v>
      </c>
    </row>
    <row r="54" spans="4:11" x14ac:dyDescent="0.75">
      <c r="D54"/>
      <c r="E54"/>
      <c r="F54" t="s">
        <v>401</v>
      </c>
      <c r="G54" t="s">
        <v>402</v>
      </c>
      <c r="H54" t="s">
        <v>400</v>
      </c>
      <c r="I54" t="s">
        <v>399</v>
      </c>
      <c r="J54">
        <v>39.706000000000003</v>
      </c>
      <c r="K54" s="16">
        <v>1135254.4856342999</v>
      </c>
    </row>
  </sheetData>
  <conditionalFormatting sqref="F1:F1048576">
    <cfRule type="duplicateValues" dxfId="264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"/>
  <sheetViews>
    <sheetView showGridLines="0" workbookViewId="0">
      <pane ySplit="4" topLeftCell="A5" activePane="bottomLeft" state="frozen"/>
      <selection pane="bottomLeft" sqref="A1:XFD1048576"/>
    </sheetView>
  </sheetViews>
  <sheetFormatPr defaultRowHeight="14.75" x14ac:dyDescent="0.75"/>
  <cols>
    <col min="1" max="1" width="18" style="25" customWidth="1"/>
    <col min="2" max="3" width="16" style="25" customWidth="1"/>
    <col min="4" max="4" width="34" style="25" customWidth="1"/>
    <col min="5" max="5" width="13" style="25" customWidth="1"/>
    <col min="6" max="6" width="10" style="25" customWidth="1"/>
    <col min="7" max="7" width="21" style="25" customWidth="1"/>
    <col min="8" max="8" width="22" style="25" customWidth="1"/>
    <col min="9" max="9" width="16" style="25" customWidth="1"/>
    <col min="10" max="10" width="17" style="25" customWidth="1"/>
    <col min="11" max="11" width="24" style="25" customWidth="1"/>
    <col min="12" max="12" width="21" style="25" customWidth="1"/>
    <col min="13" max="13" width="18" style="25" customWidth="1"/>
    <col min="14" max="14" width="20" style="25" customWidth="1"/>
    <col min="15" max="15" width="23" style="25" customWidth="1"/>
    <col min="16" max="16384" width="8.7265625" style="25"/>
  </cols>
  <sheetData>
    <row r="1" spans="1:15" ht="27.95" customHeight="1" x14ac:dyDescent="0.75">
      <c r="A1" s="23" t="s">
        <v>404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ht="32.15" customHeight="1" x14ac:dyDescent="0.75">
      <c r="A2" s="26" t="s">
        <v>405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4" spans="1:15" ht="42" customHeight="1" x14ac:dyDescent="0.75">
      <c r="A4" s="27" t="s">
        <v>406</v>
      </c>
      <c r="B4" s="27" t="s">
        <v>407</v>
      </c>
      <c r="C4" s="27" t="s">
        <v>408</v>
      </c>
      <c r="D4" s="27" t="s">
        <v>409</v>
      </c>
      <c r="E4" s="27" t="s">
        <v>410</v>
      </c>
      <c r="F4" s="27" t="s">
        <v>411</v>
      </c>
      <c r="G4" s="27" t="s">
        <v>412</v>
      </c>
      <c r="H4" s="27" t="s">
        <v>413</v>
      </c>
      <c r="I4" s="27" t="s">
        <v>414</v>
      </c>
      <c r="J4" s="27" t="s">
        <v>415</v>
      </c>
      <c r="K4" s="27" t="s">
        <v>416</v>
      </c>
      <c r="L4" s="27" t="s">
        <v>417</v>
      </c>
      <c r="M4" s="27" t="s">
        <v>418</v>
      </c>
      <c r="N4" s="27" t="s">
        <v>419</v>
      </c>
      <c r="O4" s="27" t="s">
        <v>420</v>
      </c>
    </row>
    <row r="5" spans="1:15" x14ac:dyDescent="0.75">
      <c r="A5" s="28" t="s">
        <v>421</v>
      </c>
      <c r="B5" s="28" t="s">
        <v>422</v>
      </c>
      <c r="C5" s="28" t="s">
        <v>423</v>
      </c>
      <c r="D5" s="28" t="s">
        <v>424</v>
      </c>
      <c r="E5" s="29">
        <v>46127</v>
      </c>
      <c r="F5" s="28" t="s">
        <v>425</v>
      </c>
      <c r="G5" s="28" t="s">
        <v>426</v>
      </c>
      <c r="H5" s="30" t="s">
        <v>427</v>
      </c>
      <c r="I5" s="31">
        <v>1250000</v>
      </c>
      <c r="J5" s="31">
        <v>980000</v>
      </c>
      <c r="K5" s="30" t="s">
        <v>428</v>
      </c>
      <c r="L5" s="30" t="s">
        <v>429</v>
      </c>
      <c r="M5" s="32">
        <f>SUMIF('Actual Allocation'!$B:$B,A5,'Actual Allocation'!$I:$I)</f>
        <v>1</v>
      </c>
      <c r="N5" s="33">
        <f>SUMIF('Actual Allocation'!$B:$B,A5,'Actual Allocation'!$M:$M)</f>
        <v>980000</v>
      </c>
      <c r="O5" s="33">
        <f t="shared" ref="O5:O10" si="0">J5-N5</f>
        <v>0</v>
      </c>
    </row>
    <row r="6" spans="1:15" x14ac:dyDescent="0.75">
      <c r="A6" s="28" t="s">
        <v>430</v>
      </c>
      <c r="B6" s="28" t="s">
        <v>431</v>
      </c>
      <c r="C6" s="28" t="s">
        <v>432</v>
      </c>
      <c r="D6" s="28" t="s">
        <v>433</v>
      </c>
      <c r="E6" s="29">
        <v>46162</v>
      </c>
      <c r="F6" s="28" t="s">
        <v>425</v>
      </c>
      <c r="G6" s="28" t="s">
        <v>426</v>
      </c>
      <c r="H6" s="30" t="s">
        <v>427</v>
      </c>
      <c r="I6" s="31">
        <v>2100000</v>
      </c>
      <c r="J6" s="31">
        <v>1525000</v>
      </c>
      <c r="K6" s="30" t="s">
        <v>434</v>
      </c>
      <c r="L6" s="30" t="s">
        <v>429</v>
      </c>
      <c r="M6" s="32">
        <f>SUMIF('Actual Allocation'!$B:$B,A6,'Actual Allocation'!$I:$I)</f>
        <v>1</v>
      </c>
      <c r="N6" s="33">
        <f>SUMIF('Actual Allocation'!$B:$B,A6,'Actual Allocation'!$M:$M)</f>
        <v>1525000</v>
      </c>
      <c r="O6" s="33">
        <f t="shared" si="0"/>
        <v>0</v>
      </c>
    </row>
    <row r="7" spans="1:15" x14ac:dyDescent="0.75">
      <c r="A7" s="28" t="s">
        <v>435</v>
      </c>
      <c r="B7" s="28" t="s">
        <v>436</v>
      </c>
      <c r="C7" s="28" t="s">
        <v>437</v>
      </c>
      <c r="D7" s="28" t="s">
        <v>438</v>
      </c>
      <c r="E7" s="29">
        <v>46185</v>
      </c>
      <c r="F7" s="28" t="s">
        <v>425</v>
      </c>
      <c r="G7" s="28" t="s">
        <v>426</v>
      </c>
      <c r="H7" s="30" t="s">
        <v>427</v>
      </c>
      <c r="I7" s="31">
        <v>720000</v>
      </c>
      <c r="J7" s="31">
        <v>615000</v>
      </c>
      <c r="K7" s="30" t="s">
        <v>439</v>
      </c>
      <c r="L7" s="30" t="s">
        <v>429</v>
      </c>
      <c r="M7" s="32">
        <f>SUMIF('Actual Allocation'!$B:$B,A7,'Actual Allocation'!$I:$I)</f>
        <v>1</v>
      </c>
      <c r="N7" s="33">
        <f>SUMIF('Actual Allocation'!$B:$B,A7,'Actual Allocation'!$M:$M)</f>
        <v>615000</v>
      </c>
      <c r="O7" s="33">
        <f t="shared" si="0"/>
        <v>0</v>
      </c>
    </row>
    <row r="8" spans="1:15" x14ac:dyDescent="0.75">
      <c r="A8" s="28" t="s">
        <v>440</v>
      </c>
      <c r="B8" s="28" t="s">
        <v>441</v>
      </c>
      <c r="C8" s="28" t="s">
        <v>442</v>
      </c>
      <c r="D8" s="28" t="s">
        <v>443</v>
      </c>
      <c r="E8" s="29">
        <v>46211</v>
      </c>
      <c r="F8" s="28" t="s">
        <v>425</v>
      </c>
      <c r="G8" s="28" t="s">
        <v>426</v>
      </c>
      <c r="H8" s="30" t="s">
        <v>427</v>
      </c>
      <c r="I8" s="31">
        <v>1850000</v>
      </c>
      <c r="J8" s="31">
        <v>1340000</v>
      </c>
      <c r="K8" s="30" t="s">
        <v>444</v>
      </c>
      <c r="L8" s="30" t="s">
        <v>429</v>
      </c>
      <c r="M8" s="32">
        <f>SUMIF('Actual Allocation'!$B:$B,A8,'Actual Allocation'!$I:$I)</f>
        <v>1</v>
      </c>
      <c r="N8" s="33">
        <f>SUMIF('Actual Allocation'!$B:$B,A8,'Actual Allocation'!$M:$M)</f>
        <v>1340000</v>
      </c>
      <c r="O8" s="33">
        <f t="shared" si="0"/>
        <v>0</v>
      </c>
    </row>
    <row r="9" spans="1:15" x14ac:dyDescent="0.75">
      <c r="A9" s="28" t="s">
        <v>445</v>
      </c>
      <c r="B9" s="28" t="s">
        <v>446</v>
      </c>
      <c r="C9" s="28" t="s">
        <v>447</v>
      </c>
      <c r="D9" s="28" t="s">
        <v>448</v>
      </c>
      <c r="E9" s="29">
        <v>46252</v>
      </c>
      <c r="F9" s="28" t="s">
        <v>425</v>
      </c>
      <c r="G9" s="28" t="s">
        <v>426</v>
      </c>
      <c r="H9" s="30" t="s">
        <v>427</v>
      </c>
      <c r="I9" s="31">
        <v>540000</v>
      </c>
      <c r="J9" s="31">
        <v>420000</v>
      </c>
      <c r="K9" s="30" t="s">
        <v>449</v>
      </c>
      <c r="L9" s="30" t="s">
        <v>429</v>
      </c>
      <c r="M9" s="32">
        <f>SUMIF('Actual Allocation'!$B:$B,A9,'Actual Allocation'!$I:$I)</f>
        <v>1</v>
      </c>
      <c r="N9" s="33">
        <f>SUMIF('Actual Allocation'!$B:$B,A9,'Actual Allocation'!$M:$M)</f>
        <v>420000</v>
      </c>
      <c r="O9" s="33">
        <f t="shared" si="0"/>
        <v>0</v>
      </c>
    </row>
    <row r="10" spans="1:15" x14ac:dyDescent="0.75">
      <c r="A10" s="28" t="s">
        <v>450</v>
      </c>
      <c r="B10" s="28" t="s">
        <v>451</v>
      </c>
      <c r="C10" s="28" t="s">
        <v>452</v>
      </c>
      <c r="D10" s="28" t="s">
        <v>453</v>
      </c>
      <c r="E10" s="29">
        <v>46268</v>
      </c>
      <c r="F10" s="28" t="s">
        <v>425</v>
      </c>
      <c r="G10" s="28" t="s">
        <v>426</v>
      </c>
      <c r="H10" s="30" t="s">
        <v>427</v>
      </c>
      <c r="I10" s="31">
        <v>390000</v>
      </c>
      <c r="J10" s="31">
        <v>315000</v>
      </c>
      <c r="K10" s="30" t="s">
        <v>454</v>
      </c>
      <c r="L10" s="30" t="s">
        <v>429</v>
      </c>
      <c r="M10" s="32">
        <f>SUMIF('Actual Allocation'!$B:$B,A10,'Actual Allocation'!$I:$I)</f>
        <v>1</v>
      </c>
      <c r="N10" s="33">
        <f>SUMIF('Actual Allocation'!$B:$B,A10,'Actual Allocation'!$M:$M)</f>
        <v>315000</v>
      </c>
      <c r="O10" s="33">
        <f t="shared" si="0"/>
        <v>0</v>
      </c>
    </row>
  </sheetData>
  <mergeCells count="2">
    <mergeCell ref="A1:O1"/>
    <mergeCell ref="A2:O2"/>
  </mergeCells>
  <conditionalFormatting sqref="M5:M10">
    <cfRule type="expression" dxfId="263" priority="2">
      <formula>ABS(M5-1)&gt;0.0001</formula>
    </cfRule>
  </conditionalFormatting>
  <conditionalFormatting sqref="O5:O10">
    <cfRule type="expression" dxfId="262" priority="1">
      <formula>ABS(O5)&gt;0.01</formula>
    </cfRule>
  </conditionalFormatting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0"/>
  <sheetViews>
    <sheetView showGridLines="0" workbookViewId="0">
      <pane ySplit="4" topLeftCell="A5" activePane="bottomLeft" state="frozen"/>
      <selection pane="bottomLeft" activeCell="C10" sqref="C10"/>
    </sheetView>
  </sheetViews>
  <sheetFormatPr defaultRowHeight="14.75" x14ac:dyDescent="0.75"/>
  <cols>
    <col min="1" max="1" width="17" style="25" customWidth="1"/>
    <col min="2" max="2" width="18" style="25" customWidth="1"/>
    <col min="3" max="3" width="20" style="25" customWidth="1"/>
    <col min="4" max="4" width="18" style="25" customWidth="1"/>
    <col min="5" max="5" width="46" style="25" customWidth="1"/>
    <col min="6" max="6" width="30" style="25" customWidth="1"/>
    <col min="7" max="7" width="19" style="25" customWidth="1"/>
    <col min="8" max="8" width="24" style="25" customWidth="1"/>
    <col min="9" max="9" width="15" style="25" customWidth="1"/>
    <col min="10" max="10" width="16" style="25" customWidth="1"/>
    <col min="11" max="12" width="22" style="25" customWidth="1"/>
    <col min="13" max="13" width="25" style="25" customWidth="1"/>
    <col min="14" max="14" width="50" style="25" customWidth="1"/>
    <col min="15" max="15" width="18" style="25" customWidth="1"/>
    <col min="16" max="16384" width="8.7265625" style="25"/>
  </cols>
  <sheetData>
    <row r="1" spans="1:15" ht="27.95" customHeight="1" x14ac:dyDescent="0.75">
      <c r="A1" s="34" t="s">
        <v>455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ht="30" customHeight="1" x14ac:dyDescent="0.75">
      <c r="A2" s="35" t="s">
        <v>456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4" spans="1:15" ht="45" customHeight="1" x14ac:dyDescent="0.75">
      <c r="A4" s="27" t="s">
        <v>457</v>
      </c>
      <c r="B4" s="27" t="s">
        <v>406</v>
      </c>
      <c r="C4" s="27" t="s">
        <v>5</v>
      </c>
      <c r="D4" s="27" t="s">
        <v>458</v>
      </c>
      <c r="E4" s="27" t="s">
        <v>6</v>
      </c>
      <c r="F4" s="27" t="s">
        <v>459</v>
      </c>
      <c r="G4" s="27" t="s">
        <v>460</v>
      </c>
      <c r="H4" s="27" t="s">
        <v>461</v>
      </c>
      <c r="I4" s="27" t="s">
        <v>462</v>
      </c>
      <c r="J4" s="27" t="s">
        <v>463</v>
      </c>
      <c r="K4" s="27" t="s">
        <v>464</v>
      </c>
      <c r="L4" s="27" t="s">
        <v>465</v>
      </c>
      <c r="M4" s="27" t="s">
        <v>466</v>
      </c>
      <c r="N4" s="27" t="s">
        <v>467</v>
      </c>
      <c r="O4" s="27" t="s">
        <v>468</v>
      </c>
    </row>
    <row r="5" spans="1:15" x14ac:dyDescent="0.75">
      <c r="A5" s="25" t="s">
        <v>469</v>
      </c>
      <c r="B5" s="36" t="s">
        <v>421</v>
      </c>
      <c r="C5" s="36" t="s">
        <v>26</v>
      </c>
      <c r="D5" s="36" t="s">
        <v>27</v>
      </c>
      <c r="E5" s="36" t="s">
        <v>28</v>
      </c>
      <c r="F5" s="36" t="s">
        <v>29</v>
      </c>
      <c r="G5" s="36" t="s">
        <v>31</v>
      </c>
      <c r="H5" s="30" t="s">
        <v>428</v>
      </c>
      <c r="I5" s="37">
        <v>0.4</v>
      </c>
      <c r="J5" s="38">
        <f>VLOOKUP(B5,'PO Summary'!$A:$O,10,FALSE)</f>
        <v>980000</v>
      </c>
      <c r="K5" s="33">
        <f t="shared" ref="K5:K20" si="0">I5*J5</f>
        <v>392000</v>
      </c>
      <c r="L5" s="39">
        <v>0</v>
      </c>
      <c r="M5" s="33">
        <f t="shared" ref="M5:M20" si="1">K5+L5</f>
        <v>392000</v>
      </c>
      <c r="N5" s="30" t="s">
        <v>470</v>
      </c>
      <c r="O5" s="30" t="s">
        <v>471</v>
      </c>
    </row>
    <row r="6" spans="1:15" x14ac:dyDescent="0.75">
      <c r="A6" s="25" t="s">
        <v>472</v>
      </c>
      <c r="B6" s="36" t="s">
        <v>421</v>
      </c>
      <c r="C6" s="36" t="s">
        <v>26</v>
      </c>
      <c r="D6" s="36" t="s">
        <v>27</v>
      </c>
      <c r="E6" s="36" t="s">
        <v>37</v>
      </c>
      <c r="F6" s="36" t="s">
        <v>38</v>
      </c>
      <c r="G6" s="36" t="s">
        <v>31</v>
      </c>
      <c r="H6" s="30" t="s">
        <v>428</v>
      </c>
      <c r="I6" s="37">
        <v>0.35</v>
      </c>
      <c r="J6" s="38">
        <f>VLOOKUP(B6,'PO Summary'!$A:$O,10,FALSE)</f>
        <v>980000</v>
      </c>
      <c r="K6" s="33">
        <f t="shared" si="0"/>
        <v>343000</v>
      </c>
      <c r="L6" s="39">
        <v>0</v>
      </c>
      <c r="M6" s="33">
        <f t="shared" si="1"/>
        <v>343000</v>
      </c>
      <c r="N6" s="30" t="s">
        <v>470</v>
      </c>
      <c r="O6" s="30" t="s">
        <v>471</v>
      </c>
    </row>
    <row r="7" spans="1:15" x14ac:dyDescent="0.75">
      <c r="A7" s="25" t="s">
        <v>473</v>
      </c>
      <c r="B7" s="36" t="s">
        <v>421</v>
      </c>
      <c r="C7" s="36" t="s">
        <v>57</v>
      </c>
      <c r="D7" s="36" t="s">
        <v>58</v>
      </c>
      <c r="E7" s="36" t="s">
        <v>63</v>
      </c>
      <c r="F7" s="36" t="s">
        <v>38</v>
      </c>
      <c r="G7" s="36" t="s">
        <v>61</v>
      </c>
      <c r="H7" s="30" t="s">
        <v>428</v>
      </c>
      <c r="I7" s="37">
        <v>0.25</v>
      </c>
      <c r="J7" s="38">
        <f>VLOOKUP(B7,'PO Summary'!$A:$O,10,FALSE)</f>
        <v>980000</v>
      </c>
      <c r="K7" s="33">
        <f t="shared" si="0"/>
        <v>245000</v>
      </c>
      <c r="L7" s="39">
        <v>0</v>
      </c>
      <c r="M7" s="33">
        <f t="shared" si="1"/>
        <v>245000</v>
      </c>
      <c r="N7" s="30" t="s">
        <v>470</v>
      </c>
      <c r="O7" s="30" t="s">
        <v>471</v>
      </c>
    </row>
    <row r="8" spans="1:15" x14ac:dyDescent="0.75">
      <c r="A8" s="25" t="s">
        <v>474</v>
      </c>
      <c r="B8" s="36" t="s">
        <v>430</v>
      </c>
      <c r="C8" s="36" t="s">
        <v>57</v>
      </c>
      <c r="D8" s="36" t="s">
        <v>58</v>
      </c>
      <c r="E8" s="36" t="s">
        <v>59</v>
      </c>
      <c r="F8" s="36" t="s">
        <v>36</v>
      </c>
      <c r="G8" s="36" t="s">
        <v>61</v>
      </c>
      <c r="H8" s="30" t="s">
        <v>434</v>
      </c>
      <c r="I8" s="37">
        <v>0.5</v>
      </c>
      <c r="J8" s="38">
        <f>VLOOKUP(B8,'PO Summary'!$A:$O,10,FALSE)</f>
        <v>1525000</v>
      </c>
      <c r="K8" s="33">
        <f t="shared" si="0"/>
        <v>762500</v>
      </c>
      <c r="L8" s="39">
        <v>0</v>
      </c>
      <c r="M8" s="33">
        <f t="shared" si="1"/>
        <v>762500</v>
      </c>
      <c r="N8" s="30" t="s">
        <v>470</v>
      </c>
      <c r="O8" s="30" t="s">
        <v>471</v>
      </c>
    </row>
    <row r="9" spans="1:15" x14ac:dyDescent="0.75">
      <c r="A9" s="25" t="s">
        <v>475</v>
      </c>
      <c r="B9" s="36" t="s">
        <v>430</v>
      </c>
      <c r="C9" s="36" t="s">
        <v>57</v>
      </c>
      <c r="D9" s="36" t="s">
        <v>58</v>
      </c>
      <c r="E9" s="36" t="s">
        <v>64</v>
      </c>
      <c r="F9" s="36" t="s">
        <v>40</v>
      </c>
      <c r="G9" s="36" t="s">
        <v>61</v>
      </c>
      <c r="H9" s="30" t="s">
        <v>434</v>
      </c>
      <c r="I9" s="37">
        <v>0.3</v>
      </c>
      <c r="J9" s="38">
        <f>VLOOKUP(B9,'PO Summary'!$A:$O,10,FALSE)</f>
        <v>1525000</v>
      </c>
      <c r="K9" s="33">
        <f t="shared" si="0"/>
        <v>457500</v>
      </c>
      <c r="L9" s="39">
        <v>0</v>
      </c>
      <c r="M9" s="33">
        <f t="shared" si="1"/>
        <v>457500</v>
      </c>
      <c r="N9" s="30" t="s">
        <v>470</v>
      </c>
      <c r="O9" s="30" t="s">
        <v>471</v>
      </c>
    </row>
    <row r="10" spans="1:15" x14ac:dyDescent="0.75">
      <c r="A10" s="25" t="s">
        <v>476</v>
      </c>
      <c r="B10" s="36" t="s">
        <v>430</v>
      </c>
      <c r="C10" s="36" t="s">
        <v>67</v>
      </c>
      <c r="D10" s="36" t="s">
        <v>68</v>
      </c>
      <c r="E10" s="36" t="s">
        <v>76</v>
      </c>
      <c r="F10" s="36" t="s">
        <v>77</v>
      </c>
      <c r="G10" s="36" t="s">
        <v>72</v>
      </c>
      <c r="H10" s="30" t="s">
        <v>434</v>
      </c>
      <c r="I10" s="37">
        <v>0.2</v>
      </c>
      <c r="J10" s="38">
        <f>VLOOKUP(B10,'PO Summary'!$A:$O,10,FALSE)</f>
        <v>1525000</v>
      </c>
      <c r="K10" s="33">
        <f t="shared" si="0"/>
        <v>305000</v>
      </c>
      <c r="L10" s="39">
        <v>0</v>
      </c>
      <c r="M10" s="33">
        <f t="shared" si="1"/>
        <v>305000</v>
      </c>
      <c r="N10" s="30" t="s">
        <v>470</v>
      </c>
      <c r="O10" s="30" t="s">
        <v>471</v>
      </c>
    </row>
    <row r="11" spans="1:15" x14ac:dyDescent="0.75">
      <c r="A11" s="25" t="s">
        <v>477</v>
      </c>
      <c r="B11" s="36" t="s">
        <v>435</v>
      </c>
      <c r="C11" s="36" t="s">
        <v>67</v>
      </c>
      <c r="D11" s="36" t="s">
        <v>68</v>
      </c>
      <c r="E11" s="36" t="s">
        <v>69</v>
      </c>
      <c r="F11" s="36" t="s">
        <v>70</v>
      </c>
      <c r="G11" s="36" t="s">
        <v>72</v>
      </c>
      <c r="H11" s="30" t="s">
        <v>439</v>
      </c>
      <c r="I11" s="37">
        <v>0.6</v>
      </c>
      <c r="J11" s="38">
        <f>VLOOKUP(B11,'PO Summary'!$A:$O,10,FALSE)</f>
        <v>615000</v>
      </c>
      <c r="K11" s="33">
        <f t="shared" si="0"/>
        <v>369000</v>
      </c>
      <c r="L11" s="39">
        <v>0</v>
      </c>
      <c r="M11" s="33">
        <f t="shared" si="1"/>
        <v>369000</v>
      </c>
      <c r="N11" s="30" t="s">
        <v>470</v>
      </c>
      <c r="O11" s="30" t="s">
        <v>471</v>
      </c>
    </row>
    <row r="12" spans="1:15" x14ac:dyDescent="0.75">
      <c r="A12" s="25" t="s">
        <v>478</v>
      </c>
      <c r="B12" s="36" t="s">
        <v>435</v>
      </c>
      <c r="C12" s="36" t="s">
        <v>67</v>
      </c>
      <c r="D12" s="36" t="s">
        <v>68</v>
      </c>
      <c r="E12" s="36" t="s">
        <v>78</v>
      </c>
      <c r="F12" s="36" t="s">
        <v>46</v>
      </c>
      <c r="G12" s="36" t="s">
        <v>72</v>
      </c>
      <c r="H12" s="30" t="s">
        <v>439</v>
      </c>
      <c r="I12" s="37">
        <v>0.4</v>
      </c>
      <c r="J12" s="38">
        <f>VLOOKUP(B12,'PO Summary'!$A:$O,10,FALSE)</f>
        <v>615000</v>
      </c>
      <c r="K12" s="33">
        <f t="shared" si="0"/>
        <v>246000</v>
      </c>
      <c r="L12" s="39">
        <v>0</v>
      </c>
      <c r="M12" s="33">
        <f t="shared" si="1"/>
        <v>246000</v>
      </c>
      <c r="N12" s="30" t="s">
        <v>470</v>
      </c>
      <c r="O12" s="30" t="s">
        <v>471</v>
      </c>
    </row>
    <row r="13" spans="1:15" x14ac:dyDescent="0.75">
      <c r="A13" s="25" t="s">
        <v>479</v>
      </c>
      <c r="B13" s="36" t="s">
        <v>440</v>
      </c>
      <c r="C13" s="36" t="s">
        <v>82</v>
      </c>
      <c r="D13" s="36" t="s">
        <v>83</v>
      </c>
      <c r="E13" s="36" t="s">
        <v>84</v>
      </c>
      <c r="F13" s="36" t="s">
        <v>29</v>
      </c>
      <c r="G13" s="36" t="s">
        <v>86</v>
      </c>
      <c r="H13" s="30" t="s">
        <v>444</v>
      </c>
      <c r="I13" s="37">
        <v>0.45</v>
      </c>
      <c r="J13" s="38">
        <f>VLOOKUP(B13,'PO Summary'!$A:$O,10,FALSE)</f>
        <v>1340000</v>
      </c>
      <c r="K13" s="33">
        <f t="shared" si="0"/>
        <v>603000</v>
      </c>
      <c r="L13" s="39">
        <v>0</v>
      </c>
      <c r="M13" s="33">
        <f t="shared" si="1"/>
        <v>603000</v>
      </c>
      <c r="N13" s="30" t="s">
        <v>470</v>
      </c>
      <c r="O13" s="30" t="s">
        <v>471</v>
      </c>
    </row>
    <row r="14" spans="1:15" x14ac:dyDescent="0.75">
      <c r="A14" s="25" t="s">
        <v>480</v>
      </c>
      <c r="B14" s="36" t="s">
        <v>440</v>
      </c>
      <c r="C14" s="36" t="s">
        <v>82</v>
      </c>
      <c r="D14" s="36" t="s">
        <v>83</v>
      </c>
      <c r="E14" s="36" t="s">
        <v>91</v>
      </c>
      <c r="F14" s="36" t="s">
        <v>36</v>
      </c>
      <c r="G14" s="36" t="s">
        <v>86</v>
      </c>
      <c r="H14" s="30" t="s">
        <v>444</v>
      </c>
      <c r="I14" s="37">
        <v>0.3</v>
      </c>
      <c r="J14" s="38">
        <f>VLOOKUP(B14,'PO Summary'!$A:$O,10,FALSE)</f>
        <v>1340000</v>
      </c>
      <c r="K14" s="33">
        <f t="shared" si="0"/>
        <v>402000</v>
      </c>
      <c r="L14" s="39">
        <v>0</v>
      </c>
      <c r="M14" s="33">
        <f t="shared" si="1"/>
        <v>402000</v>
      </c>
      <c r="N14" s="30" t="s">
        <v>470</v>
      </c>
      <c r="O14" s="30" t="s">
        <v>471</v>
      </c>
    </row>
    <row r="15" spans="1:15" x14ac:dyDescent="0.75">
      <c r="A15" s="25" t="s">
        <v>481</v>
      </c>
      <c r="B15" s="36" t="s">
        <v>440</v>
      </c>
      <c r="C15" s="36" t="s">
        <v>113</v>
      </c>
      <c r="D15" s="36" t="s">
        <v>114</v>
      </c>
      <c r="E15" s="36" t="s">
        <v>118</v>
      </c>
      <c r="F15" s="36" t="s">
        <v>77</v>
      </c>
      <c r="G15" s="36" t="s">
        <v>116</v>
      </c>
      <c r="H15" s="30" t="s">
        <v>444</v>
      </c>
      <c r="I15" s="37">
        <v>0.25</v>
      </c>
      <c r="J15" s="38">
        <f>VLOOKUP(B15,'PO Summary'!$A:$O,10,FALSE)</f>
        <v>1340000</v>
      </c>
      <c r="K15" s="33">
        <f t="shared" si="0"/>
        <v>335000</v>
      </c>
      <c r="L15" s="39">
        <v>0</v>
      </c>
      <c r="M15" s="33">
        <f t="shared" si="1"/>
        <v>335000</v>
      </c>
      <c r="N15" s="30" t="s">
        <v>470</v>
      </c>
      <c r="O15" s="30" t="s">
        <v>471</v>
      </c>
    </row>
    <row r="16" spans="1:15" x14ac:dyDescent="0.75">
      <c r="A16" s="25" t="s">
        <v>482</v>
      </c>
      <c r="B16" s="36" t="s">
        <v>445</v>
      </c>
      <c r="C16" s="36" t="s">
        <v>113</v>
      </c>
      <c r="D16" s="36" t="s">
        <v>114</v>
      </c>
      <c r="E16" s="36" t="s">
        <v>115</v>
      </c>
      <c r="F16" s="36" t="s">
        <v>70</v>
      </c>
      <c r="G16" s="36" t="s">
        <v>116</v>
      </c>
      <c r="H16" s="30" t="s">
        <v>449</v>
      </c>
      <c r="I16" s="37">
        <v>0.55000000000000004</v>
      </c>
      <c r="J16" s="38">
        <f>VLOOKUP(B16,'PO Summary'!$A:$O,10,FALSE)</f>
        <v>420000</v>
      </c>
      <c r="K16" s="33">
        <f t="shared" si="0"/>
        <v>231000.00000000003</v>
      </c>
      <c r="L16" s="39">
        <v>0</v>
      </c>
      <c r="M16" s="33">
        <f t="shared" si="1"/>
        <v>231000.00000000003</v>
      </c>
      <c r="N16" s="30" t="s">
        <v>470</v>
      </c>
      <c r="O16" s="30" t="s">
        <v>471</v>
      </c>
    </row>
    <row r="17" spans="1:15" x14ac:dyDescent="0.75">
      <c r="A17" s="25" t="s">
        <v>483</v>
      </c>
      <c r="B17" s="36" t="s">
        <v>445</v>
      </c>
      <c r="C17" s="36" t="s">
        <v>113</v>
      </c>
      <c r="D17" s="36" t="s">
        <v>114</v>
      </c>
      <c r="E17" s="36" t="s">
        <v>119</v>
      </c>
      <c r="F17" s="36" t="s">
        <v>40</v>
      </c>
      <c r="G17" s="36" t="s">
        <v>116</v>
      </c>
      <c r="H17" s="30" t="s">
        <v>449</v>
      </c>
      <c r="I17" s="37">
        <v>0.25</v>
      </c>
      <c r="J17" s="38">
        <f>VLOOKUP(B17,'PO Summary'!$A:$O,10,FALSE)</f>
        <v>420000</v>
      </c>
      <c r="K17" s="33">
        <f t="shared" si="0"/>
        <v>105000</v>
      </c>
      <c r="L17" s="39">
        <v>0</v>
      </c>
      <c r="M17" s="33">
        <f t="shared" si="1"/>
        <v>105000</v>
      </c>
      <c r="N17" s="30" t="s">
        <v>470</v>
      </c>
      <c r="O17" s="30" t="s">
        <v>471</v>
      </c>
    </row>
    <row r="18" spans="1:15" x14ac:dyDescent="0.75">
      <c r="A18" s="25" t="s">
        <v>484</v>
      </c>
      <c r="B18" s="36" t="s">
        <v>445</v>
      </c>
      <c r="C18" s="36" t="s">
        <v>123</v>
      </c>
      <c r="D18" s="36" t="s">
        <v>124</v>
      </c>
      <c r="E18" s="36" t="s">
        <v>130</v>
      </c>
      <c r="F18" s="36" t="s">
        <v>36</v>
      </c>
      <c r="G18" s="36" t="s">
        <v>126</v>
      </c>
      <c r="H18" s="30" t="s">
        <v>449</v>
      </c>
      <c r="I18" s="37">
        <v>0.2</v>
      </c>
      <c r="J18" s="38">
        <f>VLOOKUP(B18,'PO Summary'!$A:$O,10,FALSE)</f>
        <v>420000</v>
      </c>
      <c r="K18" s="33">
        <f t="shared" si="0"/>
        <v>84000</v>
      </c>
      <c r="L18" s="39">
        <v>0</v>
      </c>
      <c r="M18" s="33">
        <f t="shared" si="1"/>
        <v>84000</v>
      </c>
      <c r="N18" s="30" t="s">
        <v>470</v>
      </c>
      <c r="O18" s="30" t="s">
        <v>471</v>
      </c>
    </row>
    <row r="19" spans="1:15" x14ac:dyDescent="0.75">
      <c r="A19" s="25" t="s">
        <v>485</v>
      </c>
      <c r="B19" s="36" t="s">
        <v>450</v>
      </c>
      <c r="C19" s="36" t="s">
        <v>123</v>
      </c>
      <c r="D19" s="36" t="s">
        <v>124</v>
      </c>
      <c r="E19" s="36" t="s">
        <v>125</v>
      </c>
      <c r="F19" s="36" t="s">
        <v>70</v>
      </c>
      <c r="G19" s="36" t="s">
        <v>126</v>
      </c>
      <c r="H19" s="30" t="s">
        <v>454</v>
      </c>
      <c r="I19" s="37">
        <v>0.5</v>
      </c>
      <c r="J19" s="38">
        <f>VLOOKUP(B19,'PO Summary'!$A:$O,10,FALSE)</f>
        <v>315000</v>
      </c>
      <c r="K19" s="33">
        <f t="shared" si="0"/>
        <v>157500</v>
      </c>
      <c r="L19" s="39">
        <v>0</v>
      </c>
      <c r="M19" s="33">
        <f t="shared" si="1"/>
        <v>157500</v>
      </c>
      <c r="N19" s="30" t="s">
        <v>470</v>
      </c>
      <c r="O19" s="30" t="s">
        <v>471</v>
      </c>
    </row>
    <row r="20" spans="1:15" x14ac:dyDescent="0.75">
      <c r="A20" s="25" t="s">
        <v>486</v>
      </c>
      <c r="B20" s="36" t="s">
        <v>450</v>
      </c>
      <c r="C20" s="36" t="s">
        <v>123</v>
      </c>
      <c r="D20" s="36" t="s">
        <v>124</v>
      </c>
      <c r="E20" s="36" t="s">
        <v>131</v>
      </c>
      <c r="F20" s="36" t="s">
        <v>77</v>
      </c>
      <c r="G20" s="36" t="s">
        <v>126</v>
      </c>
      <c r="H20" s="30" t="s">
        <v>454</v>
      </c>
      <c r="I20" s="37">
        <v>0.5</v>
      </c>
      <c r="J20" s="38">
        <f>VLOOKUP(B20,'PO Summary'!$A:$O,10,FALSE)</f>
        <v>315000</v>
      </c>
      <c r="K20" s="33">
        <f t="shared" si="0"/>
        <v>157500</v>
      </c>
      <c r="L20" s="39">
        <v>0</v>
      </c>
      <c r="M20" s="33">
        <f t="shared" si="1"/>
        <v>157500</v>
      </c>
      <c r="N20" s="30" t="s">
        <v>470</v>
      </c>
      <c r="O20" s="30" t="s">
        <v>471</v>
      </c>
    </row>
  </sheetData>
  <mergeCells count="2">
    <mergeCell ref="A1:O1"/>
    <mergeCell ref="A2:O2"/>
  </mergeCells>
  <pageMargins left="0.75" right="0.75" top="1" bottom="1" header="0.5" footer="0.5"/>
  <legacyDrawing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db17aedf-4d02-4b27-a6be-872332d5610f}" enabled="1" method="Privileged" siteId="{b5d83618-97ea-48ec-b0be-8d4a7d67832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SAP Data</vt:lpstr>
      <vt:lpstr>SAPPivot</vt:lpstr>
      <vt:lpstr>Copperleaf Data</vt:lpstr>
      <vt:lpstr>CopperPivot</vt:lpstr>
      <vt:lpstr>PO Summary</vt:lpstr>
      <vt:lpstr>Actual Allocation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Arun Das</dc:creator>
  <cp:keywords/>
  <dc:description/>
  <cp:lastModifiedBy>Arun Das</cp:lastModifiedBy>
  <cp:revision/>
  <dcterms:created xsi:type="dcterms:W3CDTF">2026-10-05T13:01:51Z</dcterms:created>
  <dcterms:modified xsi:type="dcterms:W3CDTF">2026-10-05T13:24:48Z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0x01010025C1C3D0F6068F4E91D2EC2C43A26C7C</vt:lpwstr>
  </property>
  <property fmtid="{D5CDD505-2E9C-101B-9397-08002B2CF9AE}" pid="3" name="MediaServiceImageTags">
    <vt:lpwstr/>
  </property>
</Properties>
</file>